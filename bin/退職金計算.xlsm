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退職金計算\bin\"/>
    </mc:Choice>
  </mc:AlternateContent>
  <xr:revisionPtr revIDLastSave="0" documentId="13_ncr:1_{BE6B47C0-D008-4A8D-897D-AF4D7BB6552D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Main" sheetId="1" r:id="rId1"/>
  </sheets>
  <definedNames>
    <definedName name="_xlnm.Print_Area" localSheetId="0">Main!$A$161:$H$205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1" l="1"/>
  <c r="B231" i="1"/>
  <c r="B186" i="1"/>
  <c r="B136" i="1"/>
  <c r="B87" i="1"/>
  <c r="B83" i="1"/>
  <c r="Q27" i="1"/>
  <c r="Q24" i="1"/>
  <c r="Q16" i="1"/>
  <c r="AE5" i="1"/>
  <c r="Q18" i="1"/>
  <c r="D20" i="1" s="1"/>
  <c r="AC16" i="1"/>
  <c r="G7" i="1" s="1"/>
  <c r="AD16" i="1"/>
  <c r="H7" i="1" s="1"/>
  <c r="AJ5" i="1"/>
  <c r="F247" i="1" l="1"/>
  <c r="C230" i="1"/>
  <c r="B230" i="1"/>
  <c r="C222" i="1"/>
  <c r="C220" i="1"/>
  <c r="C218" i="1"/>
  <c r="G216" i="1"/>
  <c r="C215" i="1"/>
  <c r="F148" i="1" l="1"/>
  <c r="D142" i="1"/>
  <c r="Q19" i="1"/>
  <c r="Q7" i="1"/>
  <c r="C170" i="1"/>
  <c r="C120" i="1"/>
  <c r="C67" i="1"/>
  <c r="F200" i="1"/>
  <c r="C185" i="1"/>
  <c r="B185" i="1"/>
  <c r="C177" i="1"/>
  <c r="C175" i="1"/>
  <c r="C173" i="1"/>
  <c r="G171" i="1"/>
  <c r="AF5" i="1"/>
  <c r="B135" i="1"/>
  <c r="C127" i="1"/>
  <c r="C125" i="1"/>
  <c r="C123" i="1"/>
  <c r="G121" i="1"/>
  <c r="C74" i="1"/>
  <c r="C72" i="1"/>
  <c r="C70" i="1"/>
  <c r="G68" i="1"/>
  <c r="F105" i="1"/>
  <c r="B86" i="1"/>
  <c r="C86" i="1"/>
  <c r="B82" i="1"/>
  <c r="Q17" i="1"/>
  <c r="G18" i="1" s="1"/>
  <c r="AD5" i="1"/>
  <c r="AC5" i="1"/>
  <c r="D22" i="1" l="1"/>
  <c r="R20" i="1"/>
  <c r="D18" i="1"/>
  <c r="C181" i="1"/>
  <c r="C226" i="1"/>
  <c r="C169" i="1"/>
  <c r="C214" i="1"/>
  <c r="C171" i="1"/>
  <c r="C216" i="1"/>
  <c r="C78" i="1"/>
  <c r="C131" i="1"/>
  <c r="C66" i="1"/>
  <c r="C119" i="1"/>
  <c r="T20" i="1"/>
  <c r="T21" i="1" s="1"/>
  <c r="C68" i="1"/>
  <c r="S20" i="1"/>
  <c r="C121" i="1"/>
  <c r="S19" i="1" l="1"/>
  <c r="R19" i="1" s="1"/>
  <c r="R18" i="1" s="1"/>
  <c r="U18" i="1" l="1"/>
  <c r="D230" i="1" s="1"/>
  <c r="S18" i="1"/>
  <c r="U19" i="1" s="1"/>
  <c r="F230" i="1" l="1"/>
  <c r="Q20" i="1"/>
  <c r="C76" i="1" s="1"/>
  <c r="D135" i="1"/>
  <c r="D185" i="1"/>
  <c r="D86" i="1"/>
  <c r="D82" i="1"/>
  <c r="E236" i="1"/>
  <c r="E234" i="1"/>
  <c r="D231" i="1"/>
  <c r="E189" i="1"/>
  <c r="D91" i="1"/>
  <c r="D93" i="1" s="1"/>
  <c r="D83" i="1"/>
  <c r="D98" i="1"/>
  <c r="D136" i="1"/>
  <c r="D186" i="1"/>
  <c r="D87" i="1"/>
  <c r="E191" i="1"/>
  <c r="E235" i="1" l="1"/>
  <c r="D245" i="1"/>
  <c r="E99" i="1"/>
  <c r="E100" i="1" s="1"/>
  <c r="C129" i="1"/>
  <c r="D24" i="1"/>
  <c r="C179" i="1"/>
  <c r="C224" i="1"/>
  <c r="E190" i="1"/>
  <c r="F135" i="1"/>
  <c r="F82" i="1"/>
  <c r="F86" i="1"/>
  <c r="F185" i="1"/>
</calcChain>
</file>

<file path=xl/sharedStrings.xml><?xml version="1.0" encoding="utf-8"?>
<sst xmlns="http://schemas.openxmlformats.org/spreadsheetml/2006/main" count="197" uniqueCount="126">
  <si>
    <t>事業所区分</t>
    <rPh sb="0" eb="3">
      <t>ジギョウショ</t>
    </rPh>
    <rPh sb="3" eb="5">
      <t>クブン</t>
    </rPh>
    <phoneticPr fontId="2"/>
  </si>
  <si>
    <t>退職日付</t>
    <rPh sb="0" eb="2">
      <t>タイショク</t>
    </rPh>
    <rPh sb="2" eb="4">
      <t>ヒヅケ</t>
    </rPh>
    <phoneticPr fontId="2"/>
  </si>
  <si>
    <t>退職理由</t>
    <rPh sb="0" eb="2">
      <t>タイショク</t>
    </rPh>
    <rPh sb="2" eb="4">
      <t>リユウ</t>
    </rPh>
    <phoneticPr fontId="2"/>
  </si>
  <si>
    <t>退職金計算及び支給明細書印刷</t>
    <rPh sb="0" eb="3">
      <t>タイショクキン</t>
    </rPh>
    <rPh sb="3" eb="5">
      <t>ケイサン</t>
    </rPh>
    <rPh sb="5" eb="6">
      <t>オヨ</t>
    </rPh>
    <rPh sb="7" eb="9">
      <t>シキュウ</t>
    </rPh>
    <rPh sb="9" eb="11">
      <t>メイサイ</t>
    </rPh>
    <rPh sb="11" eb="12">
      <t>ショ</t>
    </rPh>
    <rPh sb="12" eb="14">
      <t>インサツ</t>
    </rPh>
    <phoneticPr fontId="2"/>
  </si>
  <si>
    <t>◎事業所区分</t>
    <rPh sb="1" eb="4">
      <t>ジギョウショ</t>
    </rPh>
    <rPh sb="4" eb="6">
      <t>クブン</t>
    </rPh>
    <phoneticPr fontId="2"/>
  </si>
  <si>
    <t>◎退職日付</t>
    <rPh sb="1" eb="3">
      <t>タイショク</t>
    </rPh>
    <rPh sb="3" eb="5">
      <t>ヒヅケ</t>
    </rPh>
    <phoneticPr fontId="2"/>
  </si>
  <si>
    <t>◎退職理由</t>
    <rPh sb="1" eb="3">
      <t>タイショク</t>
    </rPh>
    <rPh sb="3" eb="5">
      <t>リユウ</t>
    </rPh>
    <phoneticPr fontId="2"/>
  </si>
  <si>
    <t>◎社員番号</t>
    <rPh sb="1" eb="3">
      <t>シャイン</t>
    </rPh>
    <rPh sb="3" eb="5">
      <t>バンゴウ</t>
    </rPh>
    <phoneticPr fontId="2"/>
  </si>
  <si>
    <t>◎加給加算</t>
    <rPh sb="1" eb="3">
      <t>カキュウ</t>
    </rPh>
    <rPh sb="3" eb="5">
      <t>カサン</t>
    </rPh>
    <phoneticPr fontId="2"/>
  </si>
  <si>
    <t>本給</t>
    <rPh sb="0" eb="2">
      <t>ホンキュウ</t>
    </rPh>
    <phoneticPr fontId="2"/>
  </si>
  <si>
    <t>加給</t>
    <rPh sb="0" eb="2">
      <t>カキュウ</t>
    </rPh>
    <phoneticPr fontId="2"/>
  </si>
  <si>
    <t>生年月日</t>
    <rPh sb="0" eb="2">
      <t>セイネン</t>
    </rPh>
    <rPh sb="2" eb="4">
      <t>ガッピ</t>
    </rPh>
    <phoneticPr fontId="2"/>
  </si>
  <si>
    <t>入社年月日</t>
    <rPh sb="0" eb="2">
      <t>ニュウシャ</t>
    </rPh>
    <rPh sb="2" eb="5">
      <t>ネンガッピ</t>
    </rPh>
    <phoneticPr fontId="2"/>
  </si>
  <si>
    <t>勤続年数</t>
    <rPh sb="0" eb="2">
      <t>キンゾク</t>
    </rPh>
    <rPh sb="2" eb="4">
      <t>ネンスウ</t>
    </rPh>
    <phoneticPr fontId="2"/>
  </si>
  <si>
    <t>◎退職金</t>
    <rPh sb="1" eb="4">
      <t>タイショクキン</t>
    </rPh>
    <phoneticPr fontId="2"/>
  </si>
  <si>
    <t>退職金</t>
    <rPh sb="0" eb="3">
      <t>タイショクキン</t>
    </rPh>
    <phoneticPr fontId="2"/>
  </si>
  <si>
    <t>本部</t>
    <rPh sb="0" eb="2">
      <t>ホンブ</t>
    </rPh>
    <phoneticPr fontId="2"/>
  </si>
  <si>
    <t>大阪支店</t>
    <rPh sb="0" eb="2">
      <t>オオサカ</t>
    </rPh>
    <rPh sb="2" eb="4">
      <t>シテン</t>
    </rPh>
    <phoneticPr fontId="2"/>
  </si>
  <si>
    <t>東京支店</t>
    <rPh sb="0" eb="2">
      <t>トウキョウ</t>
    </rPh>
    <rPh sb="2" eb="4">
      <t>シテン</t>
    </rPh>
    <phoneticPr fontId="2"/>
  </si>
  <si>
    <t>東海アルコック</t>
    <rPh sb="0" eb="2">
      <t>トウカイ</t>
    </rPh>
    <phoneticPr fontId="2"/>
  </si>
  <si>
    <t>関東アルコック</t>
    <rPh sb="0" eb="2">
      <t>カントウ</t>
    </rPh>
    <phoneticPr fontId="2"/>
  </si>
  <si>
    <t>鳥居金属役員</t>
    <rPh sb="0" eb="4">
      <t>トリイキンゾク</t>
    </rPh>
    <rPh sb="4" eb="6">
      <t>ヤクイン</t>
    </rPh>
    <phoneticPr fontId="2"/>
  </si>
  <si>
    <t>RH</t>
    <phoneticPr fontId="2"/>
  </si>
  <si>
    <t>RO</t>
    <phoneticPr fontId="2"/>
  </si>
  <si>
    <t>RT</t>
    <phoneticPr fontId="2"/>
  </si>
  <si>
    <t>TA</t>
    <phoneticPr fontId="2"/>
  </si>
  <si>
    <t>KA</t>
    <phoneticPr fontId="2"/>
  </si>
  <si>
    <t>RX</t>
    <phoneticPr fontId="2"/>
  </si>
  <si>
    <t>自己都合</t>
    <rPh sb="0" eb="2">
      <t>ジコ</t>
    </rPh>
    <rPh sb="2" eb="4">
      <t>ツゴウ</t>
    </rPh>
    <phoneticPr fontId="2"/>
  </si>
  <si>
    <t>解雇</t>
    <rPh sb="0" eb="2">
      <t>カイコ</t>
    </rPh>
    <phoneticPr fontId="2"/>
  </si>
  <si>
    <t>定年</t>
    <rPh sb="0" eb="2">
      <t>テイネン</t>
    </rPh>
    <phoneticPr fontId="2"/>
  </si>
  <si>
    <t>計算域</t>
    <rPh sb="0" eb="2">
      <t>ケイサン</t>
    </rPh>
    <rPh sb="2" eb="3">
      <t>イキ</t>
    </rPh>
    <phoneticPr fontId="2"/>
  </si>
  <si>
    <t>鳥居金属興業㈱　本部</t>
    <rPh sb="0" eb="4">
      <t>トリイキンゾク</t>
    </rPh>
    <rPh sb="4" eb="6">
      <t>コウギョウ</t>
    </rPh>
    <rPh sb="8" eb="10">
      <t>ホンブ</t>
    </rPh>
    <phoneticPr fontId="2"/>
  </si>
  <si>
    <t>鳥居金属興業㈱　大阪支店</t>
    <rPh sb="0" eb="6">
      <t>トリイキンゾクコウギョウ</t>
    </rPh>
    <rPh sb="8" eb="10">
      <t>オオサカ</t>
    </rPh>
    <rPh sb="10" eb="12">
      <t>シテン</t>
    </rPh>
    <phoneticPr fontId="2"/>
  </si>
  <si>
    <t>鳥居金属興業㈱　東京支店</t>
    <rPh sb="0" eb="6">
      <t>トリイキンゾクコウギョウ</t>
    </rPh>
    <rPh sb="8" eb="10">
      <t>トウキョウ</t>
    </rPh>
    <rPh sb="10" eb="12">
      <t>シテン</t>
    </rPh>
    <phoneticPr fontId="2"/>
  </si>
  <si>
    <t>東海アルコック工業㈱</t>
    <rPh sb="0" eb="2">
      <t>トウカイ</t>
    </rPh>
    <rPh sb="7" eb="9">
      <t>コウギョウ</t>
    </rPh>
    <phoneticPr fontId="2"/>
  </si>
  <si>
    <t>関東アルコック工業㈱</t>
    <rPh sb="0" eb="2">
      <t>カントウ</t>
    </rPh>
    <rPh sb="7" eb="9">
      <t>コウギョウ</t>
    </rPh>
    <phoneticPr fontId="2"/>
  </si>
  <si>
    <t>鳥居金属興業㈱</t>
    <rPh sb="0" eb="6">
      <t>トリイキンゾクコウギョウ</t>
    </rPh>
    <phoneticPr fontId="2"/>
  </si>
  <si>
    <t>自己都合の場合の支給率</t>
    <rPh sb="0" eb="2">
      <t>ジコ</t>
    </rPh>
    <rPh sb="2" eb="4">
      <t>ツゴウ</t>
    </rPh>
    <rPh sb="5" eb="7">
      <t>バアイ</t>
    </rPh>
    <rPh sb="8" eb="11">
      <t>シキュウリツ</t>
    </rPh>
    <phoneticPr fontId="2"/>
  </si>
  <si>
    <t>年数</t>
    <rPh sb="0" eb="2">
      <t>ネンスウ</t>
    </rPh>
    <phoneticPr fontId="2"/>
  </si>
  <si>
    <t>率</t>
    <rPh sb="0" eb="1">
      <t>リツ</t>
    </rPh>
    <phoneticPr fontId="2"/>
  </si>
  <si>
    <t>最大年数</t>
    <rPh sb="0" eb="2">
      <t>サイダイ</t>
    </rPh>
    <rPh sb="2" eb="4">
      <t>ネンスウ</t>
    </rPh>
    <phoneticPr fontId="2"/>
  </si>
  <si>
    <t>支給率</t>
    <rPh sb="0" eb="3">
      <t>シキュウリツ</t>
    </rPh>
    <phoneticPr fontId="2"/>
  </si>
  <si>
    <t>勤続年数計算</t>
    <rPh sb="0" eb="2">
      <t>キンゾク</t>
    </rPh>
    <rPh sb="2" eb="4">
      <t>ネンスウ</t>
    </rPh>
    <rPh sb="4" eb="6">
      <t>ケイサン</t>
    </rPh>
    <phoneticPr fontId="2"/>
  </si>
  <si>
    <t>データ読込</t>
    <rPh sb="3" eb="5">
      <t>ヨミコミ</t>
    </rPh>
    <phoneticPr fontId="2"/>
  </si>
  <si>
    <t>　　　　　　　　　　☆　所属事業所</t>
    <rPh sb="12" eb="14">
      <t>ショゾク</t>
    </rPh>
    <rPh sb="14" eb="17">
      <t>ジギョウショ</t>
    </rPh>
    <phoneticPr fontId="2"/>
  </si>
  <si>
    <t>　　　　　　　　　　☆　社員名</t>
    <rPh sb="12" eb="14">
      <t>シャイン</t>
    </rPh>
    <rPh sb="14" eb="15">
      <t>メイ</t>
    </rPh>
    <phoneticPr fontId="2"/>
  </si>
  <si>
    <t>　　　　　　　　　　☆　生年月日</t>
    <rPh sb="12" eb="14">
      <t>セイネン</t>
    </rPh>
    <rPh sb="14" eb="16">
      <t>ガッピ</t>
    </rPh>
    <phoneticPr fontId="2"/>
  </si>
  <si>
    <t>　　　　　　　　　　☆　入社年月日</t>
    <rPh sb="12" eb="14">
      <t>ニュウシャ</t>
    </rPh>
    <rPh sb="14" eb="17">
      <t>ネンガッピ</t>
    </rPh>
    <phoneticPr fontId="2"/>
  </si>
  <si>
    <t>　　　　　　　　　　☆　退職年月日</t>
    <rPh sb="12" eb="14">
      <t>タイショク</t>
    </rPh>
    <rPh sb="14" eb="17">
      <t>ネンガッピ</t>
    </rPh>
    <phoneticPr fontId="2"/>
  </si>
  <si>
    <t>　　　　　　　　　　☆　勤続年数</t>
    <rPh sb="12" eb="14">
      <t>キンゾク</t>
    </rPh>
    <rPh sb="14" eb="16">
      <t>ネンスウ</t>
    </rPh>
    <phoneticPr fontId="2"/>
  </si>
  <si>
    <t>　　　　　　　　　　☆　退職理由</t>
    <rPh sb="12" eb="14">
      <t>タイショク</t>
    </rPh>
    <rPh sb="14" eb="16">
      <t>リユウ</t>
    </rPh>
    <phoneticPr fontId="2"/>
  </si>
  <si>
    <t>　　　　　　　　　　☆　計算式</t>
    <rPh sb="12" eb="15">
      <t>ケイサンシキ</t>
    </rPh>
    <phoneticPr fontId="2"/>
  </si>
  <si>
    <t>性別　</t>
    <rPh sb="0" eb="2">
      <t>セイベツ</t>
    </rPh>
    <phoneticPr fontId="2"/>
  </si>
  <si>
    <t>①</t>
    <phoneticPr fontId="2"/>
  </si>
  <si>
    <t>②</t>
    <phoneticPr fontId="2"/>
  </si>
  <si>
    <t>本　　給</t>
    <rPh sb="0" eb="1">
      <t>ホン</t>
    </rPh>
    <rPh sb="3" eb="4">
      <t>キュウ</t>
    </rPh>
    <phoneticPr fontId="2"/>
  </si>
  <si>
    <t>（　本　給　＋</t>
    <rPh sb="2" eb="3">
      <t>ホン</t>
    </rPh>
    <rPh sb="4" eb="5">
      <t>キュウ</t>
    </rPh>
    <phoneticPr fontId="2"/>
  </si>
  <si>
    <t>　加　給　）</t>
    <rPh sb="1" eb="2">
      <t>クワ</t>
    </rPh>
    <rPh sb="3" eb="4">
      <t>キュウ</t>
    </rPh>
    <phoneticPr fontId="2"/>
  </si>
  <si>
    <t>　　★　　退　職　金　計　算　書　　★</t>
    <rPh sb="5" eb="6">
      <t>シリゾ</t>
    </rPh>
    <rPh sb="7" eb="8">
      <t>ショク</t>
    </rPh>
    <rPh sb="9" eb="10">
      <t>キン</t>
    </rPh>
    <rPh sb="11" eb="12">
      <t>ケイ</t>
    </rPh>
    <rPh sb="13" eb="14">
      <t>サン</t>
    </rPh>
    <rPh sb="15" eb="16">
      <t>ショ</t>
    </rPh>
    <phoneticPr fontId="2"/>
  </si>
  <si>
    <t>×一定率×支給率</t>
    <rPh sb="1" eb="4">
      <t>イッテイリツ</t>
    </rPh>
    <rPh sb="5" eb="8">
      <t>シキュウリツ</t>
    </rPh>
    <phoneticPr fontId="2"/>
  </si>
  <si>
    <t>×勤続年数</t>
    <rPh sb="1" eb="3">
      <t>キンゾク</t>
    </rPh>
    <rPh sb="3" eb="5">
      <t>ネンスウ</t>
    </rPh>
    <phoneticPr fontId="2"/>
  </si>
  <si>
    <t>②－①</t>
    <phoneticPr fontId="2"/>
  </si>
  <si>
    <t>②採用の場合</t>
    <rPh sb="1" eb="3">
      <t>サイヨウ</t>
    </rPh>
    <rPh sb="4" eb="6">
      <t>バアイ</t>
    </rPh>
    <phoneticPr fontId="2"/>
  </si>
  <si>
    <t>①採用の場合</t>
    <rPh sb="1" eb="3">
      <t>サイヨウ</t>
    </rPh>
    <rPh sb="4" eb="6">
      <t>バアイ</t>
    </rPh>
    <phoneticPr fontId="2"/>
  </si>
  <si>
    <t>◎慰労金</t>
    <rPh sb="1" eb="4">
      <t>イロウキン</t>
    </rPh>
    <phoneticPr fontId="2"/>
  </si>
  <si>
    <t>◎合   計</t>
    <rPh sb="1" eb="2">
      <t>ゴウ</t>
    </rPh>
    <rPh sb="5" eb="6">
      <t>ケイ</t>
    </rPh>
    <phoneticPr fontId="2"/>
  </si>
  <si>
    <t>計算日付　＝</t>
    <rPh sb="0" eb="2">
      <t>ケイサン</t>
    </rPh>
    <rPh sb="2" eb="4">
      <t>ヒヅケ</t>
    </rPh>
    <phoneticPr fontId="2"/>
  </si>
  <si>
    <t>＊ご注意）不採用の方を×で消してください。</t>
    <rPh sb="2" eb="4">
      <t>チュウイ</t>
    </rPh>
    <rPh sb="5" eb="8">
      <t>フサイヨウ</t>
    </rPh>
    <rPh sb="9" eb="10">
      <t>ホウ</t>
    </rPh>
    <rPh sb="13" eb="14">
      <t>ケ</t>
    </rPh>
    <phoneticPr fontId="2"/>
  </si>
  <si>
    <t>①の場合</t>
    <rPh sb="2" eb="4">
      <t>バアイ</t>
    </rPh>
    <phoneticPr fontId="2"/>
  </si>
  <si>
    <t>②の場合</t>
    <rPh sb="2" eb="4">
      <t>バアイ</t>
    </rPh>
    <phoneticPr fontId="2"/>
  </si>
  <si>
    <t>①、②の差額</t>
    <rPh sb="4" eb="6">
      <t>サガク</t>
    </rPh>
    <phoneticPr fontId="2"/>
  </si>
  <si>
    <t>＋</t>
    <phoneticPr fontId="2"/>
  </si>
  <si>
    <t>＝</t>
    <phoneticPr fontId="2"/>
  </si>
  <si>
    <t>↓正式決定版②の採用</t>
    <rPh sb="1" eb="3">
      <t>セイシキ</t>
    </rPh>
    <rPh sb="3" eb="6">
      <t>ケッテイバン</t>
    </rPh>
    <rPh sb="8" eb="10">
      <t>サイヨウ</t>
    </rPh>
    <phoneticPr fontId="2"/>
  </si>
  <si>
    <t>↓正式決定版①の採用</t>
    <rPh sb="1" eb="3">
      <t>セイシキ</t>
    </rPh>
    <rPh sb="3" eb="6">
      <t>ケッテイバン</t>
    </rPh>
    <rPh sb="8" eb="10">
      <t>サイヨウ</t>
    </rPh>
    <phoneticPr fontId="2"/>
  </si>
  <si>
    <t>開始日～終了日は0になるので+1とする。</t>
    <rPh sb="0" eb="3">
      <t>カイシビ</t>
    </rPh>
    <rPh sb="4" eb="7">
      <t>シュウリョウビ</t>
    </rPh>
    <phoneticPr fontId="2"/>
  </si>
  <si>
    <t>（支給日）</t>
    <rPh sb="1" eb="4">
      <t>シキュウビ</t>
    </rPh>
    <phoneticPr fontId="2"/>
  </si>
  <si>
    <t>慰労金</t>
    <rPh sb="0" eb="3">
      <t>イロウキン</t>
    </rPh>
    <phoneticPr fontId="2"/>
  </si>
  <si>
    <t>合   計</t>
    <rPh sb="0" eb="1">
      <t>ゴウ</t>
    </rPh>
    <rPh sb="4" eb="5">
      <t>ケイ</t>
    </rPh>
    <phoneticPr fontId="2"/>
  </si>
  <si>
    <t>支給日</t>
    <rPh sb="0" eb="2">
      <t>シキュウ</t>
    </rPh>
    <rPh sb="2" eb="3">
      <t>ビ</t>
    </rPh>
    <phoneticPr fontId="2"/>
  </si>
  <si>
    <t>（合計）</t>
    <rPh sb="1" eb="2">
      <t>ゴウ</t>
    </rPh>
    <rPh sb="2" eb="3">
      <t>ケイ</t>
    </rPh>
    <phoneticPr fontId="2"/>
  </si>
  <si>
    <t>(支給内訳)</t>
    <rPh sb="1" eb="3">
      <t>シキュウ</t>
    </rPh>
    <rPh sb="3" eb="5">
      <t>ウチワケ</t>
    </rPh>
    <phoneticPr fontId="2"/>
  </si>
  <si>
    <t>退職時</t>
    <rPh sb="0" eb="3">
      <t>タイショクジ</t>
    </rPh>
    <phoneticPr fontId="2"/>
  </si>
  <si>
    <t>社員</t>
    <rPh sb="0" eb="2">
      <t>シャイン</t>
    </rPh>
    <phoneticPr fontId="2"/>
  </si>
  <si>
    <t>役員就任</t>
    <rPh sb="0" eb="2">
      <t>ヤクイン</t>
    </rPh>
    <rPh sb="2" eb="4">
      <t>シュウニン</t>
    </rPh>
    <phoneticPr fontId="2"/>
  </si>
  <si>
    <t>岡野　雅次</t>
  </si>
  <si>
    <t>衛藤　陽一</t>
  </si>
  <si>
    <t>場谷　繁樹</t>
  </si>
  <si>
    <t>神﨑　耕</t>
  </si>
  <si>
    <t>堤　義宣</t>
  </si>
  <si>
    <t>水田　さやか</t>
  </si>
  <si>
    <t>松井　哲也</t>
  </si>
  <si>
    <t>森田　智之</t>
  </si>
  <si>
    <t>藤山　絵里香</t>
  </si>
  <si>
    <t>小野寺　宏規</t>
  </si>
  <si>
    <t>小林　裕平</t>
  </si>
  <si>
    <t>実倉　清光</t>
  </si>
  <si>
    <t>岡田　圭人</t>
  </si>
  <si>
    <t>日浦　幸恵</t>
  </si>
  <si>
    <t>種田　柚花</t>
  </si>
  <si>
    <t>赤星　正輝</t>
  </si>
  <si>
    <t>釜山　志保</t>
  </si>
  <si>
    <t>矢野 郁也</t>
  </si>
  <si>
    <t>鎌苅　朋弥</t>
  </si>
  <si>
    <t>宗　　正樹</t>
  </si>
  <si>
    <t>森本　秀昭</t>
  </si>
  <si>
    <t>藤浦　正之</t>
  </si>
  <si>
    <t>竹内　正一</t>
  </si>
  <si>
    <t>伊藤　誠基</t>
  </si>
  <si>
    <t>三上　栄貴</t>
  </si>
  <si>
    <t>梶原　美智子</t>
  </si>
  <si>
    <t>伊豆　善大</t>
  </si>
  <si>
    <t>山田　修司</t>
  </si>
  <si>
    <t>門明　里佳</t>
  </si>
  <si>
    <t>竹永　哲也</t>
  </si>
  <si>
    <t>田中　泰広</t>
  </si>
  <si>
    <t>田尻　耕平</t>
  </si>
  <si>
    <t>山下　千春</t>
  </si>
  <si>
    <t>久貝　容加</t>
  </si>
  <si>
    <t>高橋　みどり</t>
  </si>
  <si>
    <t>森山　剛</t>
  </si>
  <si>
    <t>①印刷用</t>
    <rPh sb="1" eb="4">
      <t>インサツヨウ</t>
    </rPh>
    <phoneticPr fontId="2"/>
  </si>
  <si>
    <t>②印刷用</t>
    <rPh sb="1" eb="4">
      <t>インサツヨウ</t>
    </rPh>
    <phoneticPr fontId="2"/>
  </si>
  <si>
    <t>岡野　雅次</t>
    <phoneticPr fontId="2"/>
  </si>
  <si>
    <t>Y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</si>
</sst>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_);\(&quot;¥&quot;#,##0\)"/>
    <numFmt numFmtId="177" formatCode="&quot;¥&quot;#,##0_);[Red]\(&quot;¥&quot;#,##0\)"/>
    <numFmt numFmtId="178" formatCode="0.00_ "/>
    <numFmt numFmtId="179" formatCode="m&quot;月&quot;d&quot;日&quot;;@"/>
    <numFmt numFmtId="180" formatCode="[$]ggge&quot;年&quot;m&quot;月&quot;d&quot;日&quot;;@" x16r2:formatCode16="[$-ja-JP-x-gannen]ggge&quot;年&quot;m&quot;月&quot;d&quot;日&quot;;@"/>
  </numFmts>
  <fonts count="23" x14ac:knownFonts="1"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14"/>
      <name val="ＭＳ Ｐ明朝"/>
      <family val="1"/>
      <charset val="128"/>
    </font>
    <font>
      <b/>
      <sz val="14"/>
      <name val="ＭＳ Ｐ明朝"/>
      <family val="1"/>
      <charset val="128"/>
    </font>
    <font>
      <b/>
      <sz val="18"/>
      <color indexed="53"/>
      <name val="ＭＳ Ｐ明朝"/>
      <family val="1"/>
      <charset val="128"/>
    </font>
    <font>
      <b/>
      <sz val="11"/>
      <color indexed="12"/>
      <name val="ＭＳ Ｐ明朝"/>
      <family val="1"/>
      <charset val="128"/>
    </font>
    <font>
      <b/>
      <sz val="11"/>
      <name val="ＭＳ Ｐ明朝"/>
      <family val="1"/>
      <charset val="128"/>
    </font>
    <font>
      <b/>
      <sz val="12"/>
      <name val="ＭＳ Ｐ明朝"/>
      <family val="1"/>
      <charset val="128"/>
    </font>
    <font>
      <sz val="12"/>
      <name val="ＭＳ Ｐ明朝"/>
      <family val="1"/>
      <charset val="128"/>
    </font>
    <font>
      <b/>
      <sz val="14"/>
      <color indexed="16"/>
      <name val="ＭＳ Ｐ明朝"/>
      <family val="1"/>
      <charset val="128"/>
    </font>
    <font>
      <b/>
      <sz val="18"/>
      <name val="ＭＳ Ｐゴシック"/>
      <family val="3"/>
      <charset val="128"/>
    </font>
    <font>
      <b/>
      <sz val="24"/>
      <name val="ＭＳ Ｐ明朝"/>
      <family val="1"/>
      <charset val="128"/>
    </font>
    <font>
      <sz val="18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8"/>
      <name val="ＭＳ Ｐ明朝"/>
      <family val="1"/>
      <charset val="128"/>
    </font>
    <font>
      <b/>
      <sz val="18"/>
      <name val="ＭＳ Ｐ明朝"/>
      <family val="1"/>
      <charset val="128"/>
    </font>
    <font>
      <sz val="12"/>
      <name val="ＭＳ Ｐゴシック"/>
      <family val="3"/>
      <charset val="128"/>
    </font>
    <font>
      <b/>
      <sz val="16"/>
      <name val="ＭＳ Ｐ明朝"/>
      <family val="1"/>
      <charset val="128"/>
    </font>
    <font>
      <sz val="9"/>
      <color rgb="FF000000"/>
      <name val="MS UI Gothic"/>
      <family val="3"/>
      <charset val="128"/>
    </font>
    <font>
      <b/>
      <sz val="13"/>
      <color rgb="FF0000FF"/>
      <name val="ＭＳ Ｐゴシック"/>
      <family val="3"/>
      <charset val="128"/>
    </font>
    <font>
      <b/>
      <sz val="13"/>
      <color rgb="FFFF0000"/>
      <name val="ＭＳ Ｐ明朝"/>
      <family val="1"/>
      <charset val="128"/>
    </font>
    <font>
      <b/>
      <sz val="13"/>
      <color rgb="FF8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162">
    <xf numFmtId="0" fontId="0" fillId="0" borderId="0" xfId="0"/>
    <xf numFmtId="0" fontId="0" fillId="2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2" borderId="11" xfId="0" applyFill="1" applyBorder="1" applyProtection="1">
      <protection locked="0"/>
    </xf>
    <xf numFmtId="0" fontId="0" fillId="0" borderId="0" xfId="0" applyBorder="1" applyAlignment="1">
      <alignment horizontal="center"/>
    </xf>
    <xf numFmtId="178" fontId="0" fillId="3" borderId="6" xfId="0" applyNumberFormat="1" applyFill="1" applyBorder="1" applyAlignment="1">
      <alignment horizontal="center"/>
    </xf>
    <xf numFmtId="178" fontId="0" fillId="3" borderId="3" xfId="0" applyNumberFormat="1" applyFill="1" applyBorder="1" applyAlignment="1">
      <alignment horizontal="center"/>
    </xf>
    <xf numFmtId="178" fontId="0" fillId="3" borderId="9" xfId="0" applyNumberFormat="1" applyFill="1" applyBorder="1" applyAlignment="1">
      <alignment horizontal="center"/>
    </xf>
    <xf numFmtId="178" fontId="0" fillId="3" borderId="13" xfId="0" applyNumberFormat="1" applyFill="1" applyBorder="1" applyAlignment="1">
      <alignment horizontal="left"/>
    </xf>
    <xf numFmtId="178" fontId="0" fillId="3" borderId="14" xfId="0" applyNumberFormat="1" applyFill="1" applyBorder="1" applyAlignment="1">
      <alignment horizontal="left"/>
    </xf>
    <xf numFmtId="178" fontId="0" fillId="3" borderId="15" xfId="0" applyNumberFormat="1" applyFill="1" applyBorder="1" applyAlignment="1">
      <alignment horizontal="left"/>
    </xf>
    <xf numFmtId="0" fontId="0" fillId="2" borderId="16" xfId="0" applyFill="1" applyBorder="1" applyProtection="1">
      <protection locked="0"/>
    </xf>
    <xf numFmtId="178" fontId="0" fillId="2" borderId="16" xfId="0" applyNumberFormat="1" applyFill="1" applyBorder="1" applyAlignment="1" applyProtection="1">
      <alignment horizontal="center"/>
      <protection locked="0"/>
    </xf>
    <xf numFmtId="0" fontId="0" fillId="2" borderId="17" xfId="0" applyFill="1" applyBorder="1" applyAlignment="1" applyProtection="1">
      <alignment horizontal="left"/>
      <protection locked="0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178" fontId="0" fillId="4" borderId="6" xfId="0" applyNumberFormat="1" applyFill="1" applyBorder="1" applyAlignment="1">
      <alignment horizontal="center"/>
    </xf>
    <xf numFmtId="0" fontId="0" fillId="4" borderId="7" xfId="0" applyFill="1" applyBorder="1"/>
    <xf numFmtId="0" fontId="0" fillId="4" borderId="8" xfId="0" applyFill="1" applyBorder="1" applyAlignment="1">
      <alignment horizontal="center"/>
    </xf>
    <xf numFmtId="178" fontId="0" fillId="4" borderId="18" xfId="0" applyNumberFormat="1" applyFill="1" applyBorder="1" applyAlignment="1">
      <alignment horizontal="center"/>
    </xf>
    <xf numFmtId="0" fontId="0" fillId="4" borderId="19" xfId="0" applyFill="1" applyBorder="1"/>
    <xf numFmtId="0" fontId="0" fillId="4" borderId="20" xfId="0" applyFill="1" applyBorder="1" applyAlignment="1">
      <alignment horizontal="center"/>
    </xf>
    <xf numFmtId="0" fontId="0" fillId="0" borderId="21" xfId="0" applyBorder="1"/>
    <xf numFmtId="0" fontId="8" fillId="0" borderId="0" xfId="0" applyFont="1"/>
    <xf numFmtId="58" fontId="3" fillId="0" borderId="0" xfId="0" applyNumberFormat="1" applyFont="1" applyAlignment="1">
      <alignment horizontal="left"/>
    </xf>
    <xf numFmtId="0" fontId="8" fillId="0" borderId="0" xfId="0" applyFont="1" applyAlignment="1">
      <alignment horizontal="right"/>
    </xf>
    <xf numFmtId="0" fontId="3" fillId="0" borderId="0" xfId="0" applyFont="1"/>
    <xf numFmtId="0" fontId="11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38" fontId="3" fillId="0" borderId="0" xfId="1" applyFont="1"/>
    <xf numFmtId="38" fontId="3" fillId="0" borderId="0" xfId="0" applyNumberFormat="1" applyFont="1" applyAlignment="1">
      <alignment horizontal="right"/>
    </xf>
    <xf numFmtId="38" fontId="3" fillId="0" borderId="0" xfId="1" applyFont="1" applyAlignment="1">
      <alignment horizontal="right"/>
    </xf>
    <xf numFmtId="0" fontId="0" fillId="0" borderId="22" xfId="0" applyBorder="1"/>
    <xf numFmtId="0" fontId="3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58" fontId="3" fillId="0" borderId="0" xfId="0" applyNumberFormat="1" applyFont="1" applyAlignment="1">
      <alignment horizontal="center"/>
    </xf>
    <xf numFmtId="0" fontId="0" fillId="0" borderId="0" xfId="0" applyBorder="1"/>
    <xf numFmtId="0" fontId="0" fillId="0" borderId="23" xfId="0" applyBorder="1"/>
    <xf numFmtId="0" fontId="0" fillId="0" borderId="24" xfId="0" applyBorder="1"/>
    <xf numFmtId="0" fontId="18" fillId="0" borderId="25" xfId="0" applyFont="1" applyBorder="1"/>
    <xf numFmtId="0" fontId="17" fillId="0" borderId="0" xfId="0" applyFont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5" fillId="0" borderId="29" xfId="0" applyFont="1" applyBorder="1"/>
    <xf numFmtId="0" fontId="13" fillId="0" borderId="0" xfId="0" applyFont="1" applyBorder="1"/>
    <xf numFmtId="0" fontId="16" fillId="0" borderId="0" xfId="0" applyFont="1" applyBorder="1"/>
    <xf numFmtId="0" fontId="0" fillId="0" borderId="0" xfId="0" applyBorder="1" applyAlignment="1">
      <alignment horizontal="right"/>
    </xf>
    <xf numFmtId="0" fontId="4" fillId="0" borderId="0" xfId="0" applyFont="1" applyBorder="1" applyAlignment="1">
      <alignment horizontal="right"/>
    </xf>
    <xf numFmtId="0" fontId="4" fillId="0" borderId="30" xfId="0" quotePrefix="1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11" xfId="0" applyFill="1" applyBorder="1"/>
    <xf numFmtId="14" fontId="0" fillId="0" borderId="1" xfId="0" applyNumberFormat="1" applyFill="1" applyBorder="1"/>
    <xf numFmtId="0" fontId="0" fillId="0" borderId="2" xfId="0" applyFill="1" applyBorder="1"/>
    <xf numFmtId="38" fontId="0" fillId="0" borderId="4" xfId="1" applyFont="1" applyFill="1" applyBorder="1" applyProtection="1"/>
    <xf numFmtId="0" fontId="0" fillId="0" borderId="5" xfId="0" applyFill="1" applyBorder="1"/>
    <xf numFmtId="38" fontId="0" fillId="0" borderId="7" xfId="1" applyFont="1" applyFill="1" applyBorder="1" applyProtection="1"/>
    <xf numFmtId="14" fontId="0" fillId="0" borderId="32" xfId="0" applyNumberFormat="1" applyFill="1" applyBorder="1" applyProtection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178" fontId="0" fillId="0" borderId="11" xfId="0" applyNumberFormat="1" applyFill="1" applyBorder="1" applyAlignment="1">
      <alignment horizontal="center"/>
    </xf>
    <xf numFmtId="0" fontId="0" fillId="0" borderId="17" xfId="0" applyFill="1" applyBorder="1"/>
    <xf numFmtId="0" fontId="0" fillId="0" borderId="36" xfId="0" applyFill="1" applyBorder="1"/>
    <xf numFmtId="0" fontId="0" fillId="0" borderId="37" xfId="0" applyFill="1" applyBorder="1"/>
    <xf numFmtId="0" fontId="0" fillId="0" borderId="38" xfId="0" applyFill="1" applyBorder="1"/>
    <xf numFmtId="0" fontId="0" fillId="0" borderId="32" xfId="0" applyFill="1" applyBorder="1" applyProtection="1"/>
    <xf numFmtId="0" fontId="0" fillId="0" borderId="39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177" fontId="0" fillId="0" borderId="19" xfId="1" applyNumberFormat="1" applyFont="1" applyFill="1" applyBorder="1" applyProtection="1"/>
    <xf numFmtId="0" fontId="0" fillId="0" borderId="31" xfId="0" applyFill="1" applyBorder="1"/>
    <xf numFmtId="176" fontId="0" fillId="0" borderId="4" xfId="0" applyNumberFormat="1" applyFill="1" applyBorder="1" applyProtection="1"/>
    <xf numFmtId="176" fontId="0" fillId="0" borderId="7" xfId="0" applyNumberFormat="1" applyFill="1" applyBorder="1" applyProtection="1"/>
    <xf numFmtId="0" fontId="0" fillId="0" borderId="43" xfId="0" applyFill="1" applyBorder="1"/>
    <xf numFmtId="176" fontId="0" fillId="0" borderId="44" xfId="0" applyNumberFormat="1" applyFill="1" applyBorder="1" applyProtection="1"/>
    <xf numFmtId="0" fontId="4" fillId="0" borderId="30" xfId="0" applyFont="1" applyBorder="1" applyAlignment="1">
      <alignment horizontal="right"/>
    </xf>
    <xf numFmtId="0" fontId="0" fillId="0" borderId="23" xfId="0" applyBorder="1" applyAlignment="1">
      <alignment horizontal="center"/>
    </xf>
    <xf numFmtId="179" fontId="17" fillId="0" borderId="0" xfId="0" applyNumberFormat="1" applyFont="1" applyBorder="1"/>
    <xf numFmtId="179" fontId="17" fillId="0" borderId="30" xfId="0" applyNumberFormat="1" applyFont="1" applyBorder="1"/>
    <xf numFmtId="0" fontId="18" fillId="0" borderId="25" xfId="0" applyFont="1" applyBorder="1" applyAlignment="1">
      <alignment horizontal="center"/>
    </xf>
    <xf numFmtId="0" fontId="4" fillId="0" borderId="0" xfId="0" quotePrefix="1" applyFont="1" applyBorder="1" applyAlignment="1">
      <alignment horizontal="right"/>
    </xf>
    <xf numFmtId="0" fontId="17" fillId="0" borderId="0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176" fontId="4" fillId="0" borderId="0" xfId="0" applyNumberFormat="1" applyFont="1" applyBorder="1" applyAlignment="1"/>
    <xf numFmtId="179" fontId="17" fillId="0" borderId="45" xfId="0" applyNumberFormat="1" applyFont="1" applyBorder="1"/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center"/>
    </xf>
    <xf numFmtId="58" fontId="3" fillId="0" borderId="0" xfId="0" applyNumberFormat="1" applyFont="1" applyBorder="1" applyAlignment="1">
      <alignment horizontal="center"/>
    </xf>
    <xf numFmtId="0" fontId="3" fillId="0" borderId="0" xfId="0" applyFont="1" applyBorder="1" applyAlignment="1"/>
    <xf numFmtId="0" fontId="3" fillId="0" borderId="0" xfId="0" applyFont="1" applyAlignment="1">
      <alignment horizontal="center"/>
    </xf>
    <xf numFmtId="58" fontId="3" fillId="0" borderId="0" xfId="0" applyNumberFormat="1" applyFont="1" applyAlignment="1">
      <alignment horizontal="center"/>
    </xf>
    <xf numFmtId="38" fontId="3" fillId="0" borderId="0" xfId="1" applyFont="1" applyAlignment="1">
      <alignment horizontal="right"/>
    </xf>
    <xf numFmtId="58" fontId="3" fillId="0" borderId="0" xfId="0" applyNumberFormat="1" applyFont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30" xfId="0" applyFont="1" applyBorder="1" applyAlignment="1">
      <alignment horizontal="right"/>
    </xf>
    <xf numFmtId="0" fontId="0" fillId="0" borderId="0" xfId="0" applyFill="1" applyBorder="1"/>
    <xf numFmtId="57" fontId="0" fillId="0" borderId="0" xfId="0" applyNumberFormat="1" applyFill="1"/>
    <xf numFmtId="0" fontId="0" fillId="6" borderId="0" xfId="0" applyFill="1"/>
    <xf numFmtId="0" fontId="9" fillId="6" borderId="0" xfId="0" applyFont="1" applyFill="1"/>
    <xf numFmtId="0" fontId="9" fillId="6" borderId="0" xfId="0" applyFont="1" applyFill="1" applyAlignment="1">
      <alignment horizontal="center"/>
    </xf>
    <xf numFmtId="0" fontId="3" fillId="6" borderId="0" xfId="0" applyFont="1" applyFill="1"/>
    <xf numFmtId="0" fontId="6" fillId="6" borderId="12" xfId="0" applyFont="1" applyFill="1" applyBorder="1" applyProtection="1">
      <protection locked="0"/>
    </xf>
    <xf numFmtId="0" fontId="6" fillId="6" borderId="6" xfId="0" applyFont="1" applyFill="1" applyBorder="1" applyProtection="1">
      <protection locked="0"/>
    </xf>
    <xf numFmtId="0" fontId="3" fillId="0" borderId="56" xfId="0" applyFont="1" applyBorder="1" applyAlignment="1">
      <alignment horizontal="right"/>
    </xf>
    <xf numFmtId="58" fontId="3" fillId="0" borderId="46" xfId="0" applyNumberFormat="1" applyFont="1" applyBorder="1" applyAlignment="1">
      <alignment horizontal="center"/>
    </xf>
    <xf numFmtId="0" fontId="18" fillId="0" borderId="32" xfId="0" applyFont="1" applyBorder="1" applyAlignment="1">
      <alignment horizontal="center"/>
    </xf>
    <xf numFmtId="0" fontId="0" fillId="0" borderId="6" xfId="0" applyFill="1" applyBorder="1" applyProtection="1">
      <protection locked="0"/>
    </xf>
    <xf numFmtId="38" fontId="0" fillId="0" borderId="6" xfId="1" applyFont="1" applyFill="1" applyBorder="1" applyProtection="1">
      <protection locked="0"/>
    </xf>
    <xf numFmtId="14" fontId="0" fillId="0" borderId="6" xfId="0" applyNumberFormat="1" applyFill="1" applyBorder="1" applyProtection="1">
      <protection locked="0"/>
    </xf>
    <xf numFmtId="0" fontId="8" fillId="0" borderId="0" xfId="0" applyFont="1" applyAlignment="1">
      <alignment horizontal="left"/>
    </xf>
    <xf numFmtId="58" fontId="3" fillId="0" borderId="0" xfId="0" applyNumberFormat="1" applyFont="1" applyAlignment="1">
      <alignment horizontal="left"/>
    </xf>
    <xf numFmtId="0" fontId="0" fillId="0" borderId="52" xfId="0" applyFill="1" applyBorder="1" applyAlignment="1">
      <alignment horizontal="center" wrapText="1"/>
    </xf>
    <xf numFmtId="0" fontId="0" fillId="0" borderId="53" xfId="0" applyFill="1" applyBorder="1" applyAlignment="1">
      <alignment horizontal="center" wrapText="1"/>
    </xf>
    <xf numFmtId="0" fontId="0" fillId="0" borderId="54" xfId="0" applyFill="1" applyBorder="1" applyAlignment="1">
      <alignment horizontal="center" wrapText="1"/>
    </xf>
    <xf numFmtId="0" fontId="0" fillId="0" borderId="55" xfId="0" applyFill="1" applyBorder="1" applyAlignment="1">
      <alignment horizontal="center" wrapText="1"/>
    </xf>
    <xf numFmtId="0" fontId="4" fillId="0" borderId="0" xfId="0" applyFont="1" applyBorder="1" applyAlignment="1">
      <alignment horizontal="right"/>
    </xf>
    <xf numFmtId="0" fontId="4" fillId="0" borderId="30" xfId="0" applyFont="1" applyBorder="1" applyAlignment="1">
      <alignment horizontal="right"/>
    </xf>
    <xf numFmtId="0" fontId="4" fillId="1" borderId="0" xfId="0" applyFont="1" applyFill="1" applyAlignment="1">
      <alignment horizontal="center" vertical="center"/>
    </xf>
    <xf numFmtId="0" fontId="7" fillId="1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0" fillId="0" borderId="5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58" fontId="8" fillId="6" borderId="22" xfId="0" applyNumberFormat="1" applyFont="1" applyFill="1" applyBorder="1" applyAlignment="1">
      <alignment horizontal="center"/>
    </xf>
    <xf numFmtId="0" fontId="4" fillId="6" borderId="22" xfId="0" applyFont="1" applyFill="1" applyBorder="1" applyAlignment="1">
      <alignment horizontal="center"/>
    </xf>
    <xf numFmtId="0" fontId="10" fillId="6" borderId="3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5" borderId="47" xfId="0" applyFont="1" applyFill="1" applyBorder="1" applyAlignment="1">
      <alignment horizontal="center" vertical="center"/>
    </xf>
    <xf numFmtId="0" fontId="5" fillId="5" borderId="48" xfId="0" applyFont="1" applyFill="1" applyBorder="1" applyAlignment="1">
      <alignment horizontal="center" vertical="center"/>
    </xf>
    <xf numFmtId="0" fontId="5" fillId="5" borderId="49" xfId="0" applyFont="1" applyFill="1" applyBorder="1" applyAlignment="1">
      <alignment horizontal="center" vertical="center"/>
    </xf>
    <xf numFmtId="38" fontId="8" fillId="6" borderId="22" xfId="0" applyNumberFormat="1" applyFont="1" applyFill="1" applyBorder="1" applyAlignment="1">
      <alignment horizontal="right"/>
    </xf>
    <xf numFmtId="0" fontId="8" fillId="6" borderId="22" xfId="0" applyFont="1" applyFill="1" applyBorder="1" applyAlignment="1">
      <alignment horizontal="right"/>
    </xf>
    <xf numFmtId="0" fontId="7" fillId="6" borderId="50" xfId="0" applyFont="1" applyFill="1" applyBorder="1" applyAlignment="1">
      <alignment horizontal="left"/>
    </xf>
    <xf numFmtId="0" fontId="7" fillId="6" borderId="46" xfId="0" applyFont="1" applyFill="1" applyBorder="1" applyAlignment="1">
      <alignment horizontal="left"/>
    </xf>
    <xf numFmtId="58" fontId="6" fillId="6" borderId="32" xfId="0" applyNumberFormat="1" applyFont="1" applyFill="1" applyBorder="1" applyAlignment="1" applyProtection="1">
      <alignment horizontal="left" vertical="center"/>
      <protection locked="0"/>
    </xf>
    <xf numFmtId="58" fontId="6" fillId="6" borderId="46" xfId="0" applyNumberFormat="1" applyFont="1" applyFill="1" applyBorder="1" applyAlignment="1" applyProtection="1">
      <alignment horizontal="left" vertical="center"/>
      <protection locked="0"/>
    </xf>
    <xf numFmtId="38" fontId="3" fillId="0" borderId="0" xfId="1" applyFont="1" applyAlignment="1">
      <alignment horizontal="right"/>
    </xf>
    <xf numFmtId="38" fontId="14" fillId="0" borderId="22" xfId="1" applyFont="1" applyBorder="1" applyAlignment="1">
      <alignment horizontal="center"/>
    </xf>
    <xf numFmtId="180" fontId="8" fillId="6" borderId="22" xfId="0" applyNumberFormat="1" applyFont="1" applyFill="1" applyBorder="1" applyAlignment="1">
      <alignment horizontal="center"/>
    </xf>
    <xf numFmtId="38" fontId="4" fillId="0" borderId="0" xfId="0" applyNumberFormat="1" applyFont="1" applyBorder="1" applyAlignment="1">
      <alignment horizontal="right"/>
    </xf>
    <xf numFmtId="38" fontId="4" fillId="0" borderId="0" xfId="1" applyFont="1" applyBorder="1" applyAlignment="1">
      <alignment horizontal="right"/>
    </xf>
    <xf numFmtId="58" fontId="3" fillId="0" borderId="0" xfId="0" applyNumberFormat="1" applyFont="1" applyBorder="1" applyAlignment="1">
      <alignment horizontal="center"/>
    </xf>
    <xf numFmtId="38" fontId="4" fillId="0" borderId="30" xfId="1" applyFont="1" applyBorder="1" applyAlignment="1">
      <alignment horizontal="right"/>
    </xf>
    <xf numFmtId="38" fontId="4" fillId="0" borderId="45" xfId="1" applyFont="1" applyBorder="1" applyAlignment="1">
      <alignment horizontal="right"/>
    </xf>
    <xf numFmtId="38" fontId="4" fillId="0" borderId="56" xfId="1" applyFont="1" applyBorder="1" applyAlignment="1">
      <alignment horizontal="right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Drop" dropLines="7" dropStyle="combo" dx="16" fmlaLink="$AB$5" fmlaRange="$AC$7:$AC$13" noThreeD="1" sel="2" val="0"/>
</file>

<file path=xl/ctrlProps/ctrlProp3.xml><?xml version="1.0" encoding="utf-8"?>
<formControlPr xmlns="http://schemas.microsoft.com/office/spreadsheetml/2009/9/main" objectType="Drop" dropLines="4" dropStyle="combo" dx="16" fmlaLink="$AI$5" fmlaRange="$AJ$7:$AJ$10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" dropStyle="combo" dx="16" fmlaLink="$AB$16" fmlaRange="$AD$18:$AD$65" noThreeD="1" sel="2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1343025</xdr:colOff>
      <xdr:row>61</xdr:row>
      <xdr:rowOff>0</xdr:rowOff>
    </xdr:from>
    <xdr:to>
      <xdr:col>6</xdr:col>
      <xdr:colOff>352425</xdr:colOff>
      <xdr:row>63</xdr:row>
      <xdr:rowOff>0</xdr:rowOff>
    </xdr:to>
    <xdr:sp macro="" textlink="">
      <xdr:nvSpPr>
        <xdr:cNvPr id="1514" name="Rectangle 8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>
          <a:spLocks noChangeArrowheads="1"/>
        </xdr:cNvSpPr>
      </xdr:nvSpPr>
      <xdr:spPr bwMode="auto">
        <a:xfrm>
          <a:off x="1343025" y="1133475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114</xdr:row>
      <xdr:rowOff>0</xdr:rowOff>
    </xdr:from>
    <xdr:to>
      <xdr:col>6</xdr:col>
      <xdr:colOff>352425</xdr:colOff>
      <xdr:row>116</xdr:row>
      <xdr:rowOff>0</xdr:rowOff>
    </xdr:to>
    <xdr:sp macro="" textlink="">
      <xdr:nvSpPr>
        <xdr:cNvPr id="1515" name="Rectangle 9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>
          <a:spLocks noChangeArrowheads="1"/>
        </xdr:cNvSpPr>
      </xdr:nvSpPr>
      <xdr:spPr bwMode="auto">
        <a:xfrm>
          <a:off x="1343025" y="245745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114</xdr:row>
      <xdr:rowOff>0</xdr:rowOff>
    </xdr:from>
    <xdr:to>
      <xdr:col>6</xdr:col>
      <xdr:colOff>352425</xdr:colOff>
      <xdr:row>116</xdr:row>
      <xdr:rowOff>0</xdr:rowOff>
    </xdr:to>
    <xdr:sp macro="" textlink="">
      <xdr:nvSpPr>
        <xdr:cNvPr id="1516" name="Rectangle 10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>
          <a:spLocks noChangeArrowheads="1"/>
        </xdr:cNvSpPr>
      </xdr:nvSpPr>
      <xdr:spPr bwMode="auto">
        <a:xfrm>
          <a:off x="1343025" y="245745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164</xdr:row>
      <xdr:rowOff>0</xdr:rowOff>
    </xdr:from>
    <xdr:to>
      <xdr:col>6</xdr:col>
      <xdr:colOff>352425</xdr:colOff>
      <xdr:row>166</xdr:row>
      <xdr:rowOff>0</xdr:rowOff>
    </xdr:to>
    <xdr:sp macro="" textlink="">
      <xdr:nvSpPr>
        <xdr:cNvPr id="1517" name="Rectangle 11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>
          <a:spLocks noChangeArrowheads="1"/>
        </xdr:cNvSpPr>
      </xdr:nvSpPr>
      <xdr:spPr bwMode="auto">
        <a:xfrm>
          <a:off x="1343025" y="369189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114</xdr:row>
      <xdr:rowOff>0</xdr:rowOff>
    </xdr:from>
    <xdr:to>
      <xdr:col>6</xdr:col>
      <xdr:colOff>352425</xdr:colOff>
      <xdr:row>116</xdr:row>
      <xdr:rowOff>0</xdr:rowOff>
    </xdr:to>
    <xdr:sp macro="" textlink="">
      <xdr:nvSpPr>
        <xdr:cNvPr id="1518" name="Rectangle 12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>
          <a:spLocks noChangeArrowheads="1"/>
        </xdr:cNvSpPr>
      </xdr:nvSpPr>
      <xdr:spPr bwMode="auto">
        <a:xfrm>
          <a:off x="1343025" y="245745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164</xdr:row>
      <xdr:rowOff>0</xdr:rowOff>
    </xdr:from>
    <xdr:to>
      <xdr:col>6</xdr:col>
      <xdr:colOff>352425</xdr:colOff>
      <xdr:row>166</xdr:row>
      <xdr:rowOff>0</xdr:rowOff>
    </xdr:to>
    <xdr:sp macro="" textlink="">
      <xdr:nvSpPr>
        <xdr:cNvPr id="1519" name="Rectangle 13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>
          <a:spLocks noChangeArrowheads="1"/>
        </xdr:cNvSpPr>
      </xdr:nvSpPr>
      <xdr:spPr bwMode="auto">
        <a:xfrm>
          <a:off x="1343025" y="369189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1933575</xdr:colOff>
          <xdr:row>16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退職金の計算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161925</xdr:rowOff>
        </xdr:from>
        <xdr:to>
          <xdr:col>3</xdr:col>
          <xdr:colOff>257175</xdr:colOff>
          <xdr:row>6</xdr:row>
          <xdr:rowOff>171450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295275</xdr:colOff>
          <xdr:row>13</xdr:row>
          <xdr:rowOff>9525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12</xdr:row>
          <xdr:rowOff>85725</xdr:rowOff>
        </xdr:from>
        <xdr:to>
          <xdr:col>8</xdr:col>
          <xdr:colOff>542925</xdr:colOff>
          <xdr:row>14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3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表示クリア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31</xdr:row>
          <xdr:rowOff>9525</xdr:rowOff>
        </xdr:from>
        <xdr:to>
          <xdr:col>8</xdr:col>
          <xdr:colOff>219075</xdr:colOff>
          <xdr:row>33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300" b="1" i="0" u="none" strike="noStrike" baseline="0">
                  <a:solidFill>
                    <a:srgbClr val="FF0000"/>
                  </a:solidFill>
                  <a:latin typeface="ＭＳ Ｐ明朝"/>
                  <a:ea typeface="ＭＳ Ｐ明朝"/>
                </a:rPr>
                <a:t>終了します。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31</xdr:row>
          <xdr:rowOff>19050</xdr:rowOff>
        </xdr:from>
        <xdr:to>
          <xdr:col>4</xdr:col>
          <xdr:colOff>133350</xdr:colOff>
          <xdr:row>33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300" b="1" i="0" u="none" strike="noStrike" baseline="0">
                  <a:solidFill>
                    <a:srgbClr val="800000"/>
                  </a:solidFill>
                  <a:latin typeface="ＭＳ Ｐゴシック"/>
                  <a:ea typeface="ＭＳ Ｐゴシック"/>
                </a:rPr>
                <a:t>ＯＫであれば印刷します。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1343025</xdr:colOff>
      <xdr:row>209</xdr:row>
      <xdr:rowOff>0</xdr:rowOff>
    </xdr:from>
    <xdr:to>
      <xdr:col>6</xdr:col>
      <xdr:colOff>352425</xdr:colOff>
      <xdr:row>211</xdr:row>
      <xdr:rowOff>0</xdr:rowOff>
    </xdr:to>
    <xdr:sp macro="" textlink="">
      <xdr:nvSpPr>
        <xdr:cNvPr id="14" name="Rectangle 1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1343025" y="369189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1343025</xdr:colOff>
      <xdr:row>209</xdr:row>
      <xdr:rowOff>0</xdr:rowOff>
    </xdr:from>
    <xdr:to>
      <xdr:col>6</xdr:col>
      <xdr:colOff>352425</xdr:colOff>
      <xdr:row>211</xdr:row>
      <xdr:rowOff>0</xdr:rowOff>
    </xdr:to>
    <xdr:sp macro="" textlink="">
      <xdr:nvSpPr>
        <xdr:cNvPr id="15" name="Rectangle 1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1343025" y="36918900"/>
          <a:ext cx="4781550" cy="495300"/>
        </a:xfrm>
        <a:prstGeom prst="rect">
          <a:avLst/>
        </a:prstGeom>
        <a:noFill/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800100</xdr:colOff>
          <xdr:row>4</xdr:row>
          <xdr:rowOff>171450</xdr:rowOff>
        </xdr:from>
        <xdr:to>
          <xdr:col>7</xdr:col>
          <xdr:colOff>314325</xdr:colOff>
          <xdr:row>5</xdr:row>
          <xdr:rowOff>161925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png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J250"/>
  <sheetViews>
    <sheetView showGridLines="0" showRowColHeaders="0" showZeros="0" tabSelected="1" showOutlineSymbols="0" workbookViewId="0">
      <selection activeCell="G10" sqref="G10"/>
    </sheetView>
  </sheetViews>
  <sheetFormatPr defaultRowHeight="13.5" x14ac:dyDescent="0.15"/>
  <cols>
    <col min="1" max="1" width="25.625" customWidth="1"/>
    <col min="2" max="2" width="12.625" customWidth="1"/>
    <col min="3" max="3" width="10.625" customWidth="1"/>
    <col min="4" max="4" width="8.625" customWidth="1"/>
    <col min="5" max="5" width="7.625" customWidth="1"/>
    <col min="6" max="6" width="10.625" customWidth="1"/>
    <col min="7" max="7" width="7.625" customWidth="1"/>
    <col min="8" max="9" width="8.625" customWidth="1"/>
    <col min="14" max="14" width="36.625" customWidth="1"/>
    <col min="16" max="16" width="11.875" customWidth="1"/>
    <col min="17" max="17" width="14.75" customWidth="1"/>
    <col min="24" max="24" width="13.5" customWidth="1"/>
    <col min="27" max="27" width="10.625" customWidth="1"/>
    <col min="29" max="29" width="12.625" customWidth="1"/>
    <col min="30" max="30" width="10.25" bestFit="1" customWidth="1"/>
    <col min="32" max="32" width="23.875" customWidth="1"/>
  </cols>
  <sheetData>
    <row r="1" spans="1:36" ht="18" customHeight="1" x14ac:dyDescent="0.15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</row>
    <row r="2" spans="1:36" ht="18" customHeight="1" x14ac:dyDescent="0.15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</row>
    <row r="3" spans="1:36" ht="18" customHeight="1" thickBot="1" x14ac:dyDescent="0.2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</row>
    <row r="4" spans="1:36" ht="30" customHeight="1" thickTop="1" thickBot="1" x14ac:dyDescent="0.2">
      <c r="A4" s="63"/>
      <c r="B4" s="144" t="s">
        <v>3</v>
      </c>
      <c r="C4" s="145"/>
      <c r="D4" s="145"/>
      <c r="E4" s="145"/>
      <c r="F4" s="145"/>
      <c r="G4" s="145"/>
      <c r="H4" s="145"/>
      <c r="I4" s="146"/>
      <c r="J4" s="63"/>
      <c r="K4" s="63"/>
      <c r="L4" s="63"/>
      <c r="M4" s="63"/>
      <c r="N4" s="63"/>
      <c r="O4" s="63"/>
      <c r="P4" s="63" t="s">
        <v>31</v>
      </c>
      <c r="Q4" s="63"/>
      <c r="R4" s="63"/>
      <c r="S4" s="63"/>
      <c r="T4" s="63"/>
      <c r="U4" s="63"/>
      <c r="V4" s="63"/>
      <c r="W4" s="63"/>
      <c r="X4" s="63"/>
      <c r="Y4" s="63"/>
      <c r="Z4" s="63"/>
    </row>
    <row r="5" spans="1:36" ht="15" thickTop="1" thickBot="1" x14ac:dyDescent="0.2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t="s">
        <v>0</v>
      </c>
      <c r="AB5" s="11">
        <v>2</v>
      </c>
      <c r="AC5" s="19" t="str">
        <f>IF(AB5=0,"",VLOOKUP(AB5,AB7:AD13,2))</f>
        <v>大阪支店</v>
      </c>
      <c r="AD5" s="19" t="str">
        <f>IF(AB5=0,"",VLOOKUP(AB5,AB7:AD13,3))</f>
        <v>RO</v>
      </c>
      <c r="AE5" s="20">
        <f>IF(AB5=0,"",VLOOKUP(AB5,AB7:AF13,4))</f>
        <v>0.8</v>
      </c>
      <c r="AF5" s="21" t="str">
        <f>IF(AB5=0,"",VLOOKUP(AB5,AB7:AF13,5))</f>
        <v>鳥居金属興業㈱　大阪支店</v>
      </c>
      <c r="AH5" t="s">
        <v>2</v>
      </c>
      <c r="AI5" s="11">
        <v>1</v>
      </c>
      <c r="AJ5" s="1" t="str">
        <f>IF(AI5=0,"",VLOOKUP(AI5,AI7:AJ10,2))</f>
        <v>自己都合</v>
      </c>
    </row>
    <row r="6" spans="1:36" ht="14.25" thickBot="1" x14ac:dyDescent="0.2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</row>
    <row r="7" spans="1:36" ht="14.25" thickBot="1" x14ac:dyDescent="0.2">
      <c r="A7" s="63"/>
      <c r="B7" s="63" t="s">
        <v>4</v>
      </c>
      <c r="C7" s="63"/>
      <c r="D7" s="63"/>
      <c r="E7" s="63"/>
      <c r="F7" s="63" t="s">
        <v>7</v>
      </c>
      <c r="G7" s="116">
        <f>AC16</f>
        <v>470</v>
      </c>
      <c r="H7" s="149" t="str">
        <f>AD16</f>
        <v>岡野　雅次</v>
      </c>
      <c r="I7" s="150"/>
      <c r="J7" s="63"/>
      <c r="K7" s="63"/>
      <c r="L7" s="63"/>
      <c r="M7" s="63"/>
      <c r="N7" s="63"/>
      <c r="O7" s="63"/>
      <c r="P7" s="64" t="s">
        <v>1</v>
      </c>
      <c r="Q7" s="65">
        <f>IF(C10="","",C10)</f>
        <v>44834</v>
      </c>
      <c r="R7" s="63"/>
      <c r="S7" s="63"/>
      <c r="T7" s="63"/>
      <c r="U7" s="63"/>
      <c r="V7" s="63"/>
      <c r="W7" s="63"/>
      <c r="X7" s="63"/>
      <c r="Y7" s="63"/>
      <c r="Z7" s="63"/>
      <c r="AB7" s="2">
        <v>1</v>
      </c>
      <c r="AC7" s="3" t="s">
        <v>16</v>
      </c>
      <c r="AD7" s="3" t="s">
        <v>22</v>
      </c>
      <c r="AE7" s="14">
        <v>0.8</v>
      </c>
      <c r="AF7" s="16" t="s">
        <v>32</v>
      </c>
      <c r="AG7" s="12"/>
      <c r="AI7" s="2">
        <v>1</v>
      </c>
      <c r="AJ7" s="4" t="s">
        <v>28</v>
      </c>
    </row>
    <row r="8" spans="1:36" x14ac:dyDescent="0.15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B8" s="5">
        <v>2</v>
      </c>
      <c r="AC8" s="6" t="s">
        <v>17</v>
      </c>
      <c r="AD8" s="6" t="s">
        <v>23</v>
      </c>
      <c r="AE8" s="13">
        <v>0.8</v>
      </c>
      <c r="AF8" s="17" t="s">
        <v>33</v>
      </c>
      <c r="AG8" s="12"/>
      <c r="AI8" s="5">
        <v>2</v>
      </c>
      <c r="AJ8" s="7" t="s">
        <v>29</v>
      </c>
    </row>
    <row r="9" spans="1:36" x14ac:dyDescent="0.15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B9" s="5">
        <v>3</v>
      </c>
      <c r="AC9" s="6" t="s">
        <v>18</v>
      </c>
      <c r="AD9" s="6" t="s">
        <v>24</v>
      </c>
      <c r="AE9" s="13">
        <v>0.8</v>
      </c>
      <c r="AF9" s="17" t="s">
        <v>34</v>
      </c>
      <c r="AG9" s="12"/>
      <c r="AI9" s="5">
        <v>3</v>
      </c>
      <c r="AJ9" s="7" t="s">
        <v>30</v>
      </c>
    </row>
    <row r="10" spans="1:36" ht="14.25" thickBot="1" x14ac:dyDescent="0.2">
      <c r="A10" s="63"/>
      <c r="B10" s="63" t="s">
        <v>5</v>
      </c>
      <c r="C10" s="151">
        <v>44834</v>
      </c>
      <c r="D10" s="152"/>
      <c r="E10" s="110"/>
      <c r="F10" s="63" t="s">
        <v>8</v>
      </c>
      <c r="G10" s="117" t="s">
        <v>125</v>
      </c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B10" s="5">
        <v>4</v>
      </c>
      <c r="AC10" s="6" t="s">
        <v>19</v>
      </c>
      <c r="AD10" s="6" t="s">
        <v>25</v>
      </c>
      <c r="AE10" s="13">
        <v>0.8</v>
      </c>
      <c r="AF10" s="17" t="s">
        <v>35</v>
      </c>
      <c r="AG10" s="12"/>
      <c r="AI10" s="8">
        <v>4</v>
      </c>
      <c r="AJ10" s="10" t="s">
        <v>85</v>
      </c>
    </row>
    <row r="11" spans="1:36" x14ac:dyDescent="0.15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B11" s="5">
        <v>5</v>
      </c>
      <c r="AC11" s="6" t="s">
        <v>20</v>
      </c>
      <c r="AD11" s="6" t="s">
        <v>26</v>
      </c>
      <c r="AE11" s="13">
        <v>0.8</v>
      </c>
      <c r="AF11" s="17" t="s">
        <v>36</v>
      </c>
      <c r="AG11" s="12"/>
    </row>
    <row r="12" spans="1:36" x14ac:dyDescent="0.15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B12" s="5">
        <v>6</v>
      </c>
      <c r="AC12" s="6"/>
      <c r="AD12" s="6"/>
      <c r="AE12" s="13"/>
      <c r="AF12" s="17"/>
      <c r="AG12" s="12"/>
    </row>
    <row r="13" spans="1:36" ht="14.25" thickBot="1" x14ac:dyDescent="0.2">
      <c r="A13" s="63"/>
      <c r="B13" s="63" t="s">
        <v>6</v>
      </c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B13" s="8">
        <v>7</v>
      </c>
      <c r="AC13" s="9" t="s">
        <v>21</v>
      </c>
      <c r="AD13" s="9" t="s">
        <v>27</v>
      </c>
      <c r="AE13" s="15">
        <v>1</v>
      </c>
      <c r="AF13" s="18" t="s">
        <v>37</v>
      </c>
      <c r="AG13" s="12"/>
    </row>
    <row r="14" spans="1:36" x14ac:dyDescent="0.15">
      <c r="A14" s="63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 t="s">
        <v>44</v>
      </c>
      <c r="Y14" s="63"/>
      <c r="Z14" s="63"/>
    </row>
    <row r="15" spans="1:36" ht="14.25" thickBot="1" x14ac:dyDescent="0.2">
      <c r="A15" s="63"/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121" t="s">
        <v>124</v>
      </c>
      <c r="Y15" s="63"/>
      <c r="Z15" s="63"/>
    </row>
    <row r="16" spans="1:36" ht="14.25" thickBot="1" x14ac:dyDescent="0.2">
      <c r="A16" s="63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6" t="s">
        <v>9</v>
      </c>
      <c r="Q16" s="67">
        <f>IF(X16=0,0,X16)</f>
        <v>298460</v>
      </c>
      <c r="R16" s="63"/>
      <c r="S16" s="63"/>
      <c r="T16" s="63"/>
      <c r="U16" s="63"/>
      <c r="V16" s="63"/>
      <c r="W16" s="63"/>
      <c r="X16" s="122">
        <v>298460</v>
      </c>
      <c r="Y16" s="63"/>
      <c r="Z16" s="63"/>
      <c r="AA16" t="s">
        <v>84</v>
      </c>
      <c r="AB16" s="11">
        <v>2</v>
      </c>
      <c r="AC16" s="19">
        <f>VLOOKUP($AB$16,$AB$18:$AC$65,2,TRUE)</f>
        <v>470</v>
      </c>
      <c r="AD16" s="19" t="str">
        <f>VLOOKUP($AB$16,$AB$18:$AD$65,3,TRUE)</f>
        <v>岡野　雅次</v>
      </c>
    </row>
    <row r="17" spans="1:36" ht="14.25" thickBot="1" x14ac:dyDescent="0.2">
      <c r="A17" s="63"/>
      <c r="B17" s="112"/>
      <c r="C17" s="112"/>
      <c r="D17" s="112"/>
      <c r="E17" s="112"/>
      <c r="F17" s="112"/>
      <c r="G17" s="112"/>
      <c r="H17" s="112"/>
      <c r="I17" s="112"/>
      <c r="J17" s="63"/>
      <c r="K17" s="63"/>
      <c r="L17" s="63"/>
      <c r="M17" s="63"/>
      <c r="N17" s="63"/>
      <c r="O17" s="63"/>
      <c r="P17" s="68" t="s">
        <v>10</v>
      </c>
      <c r="Q17" s="69">
        <f>IF(X17=0,0,IF(G10="y",X17,0))</f>
        <v>46440</v>
      </c>
      <c r="R17" s="138" t="s">
        <v>43</v>
      </c>
      <c r="S17" s="139"/>
      <c r="T17" s="139"/>
      <c r="U17" s="63" t="s">
        <v>42</v>
      </c>
      <c r="V17" s="63" t="s">
        <v>41</v>
      </c>
      <c r="W17" s="63"/>
      <c r="X17" s="122">
        <v>46440</v>
      </c>
      <c r="Y17" s="63"/>
      <c r="Z17" s="63"/>
      <c r="AH17" t="s">
        <v>38</v>
      </c>
    </row>
    <row r="18" spans="1:36" ht="15" thickBot="1" x14ac:dyDescent="0.2">
      <c r="A18" s="63"/>
      <c r="B18" s="112"/>
      <c r="C18" s="113" t="s">
        <v>9</v>
      </c>
      <c r="D18" s="147">
        <f>IF(Q16=0,"",Q16)</f>
        <v>298460</v>
      </c>
      <c r="E18" s="148"/>
      <c r="F18" s="114" t="s">
        <v>10</v>
      </c>
      <c r="G18" s="147">
        <f>IF(Q17=0,"",Q17)</f>
        <v>46440</v>
      </c>
      <c r="H18" s="148"/>
      <c r="I18" s="112"/>
      <c r="J18" s="63"/>
      <c r="K18" s="63"/>
      <c r="L18" s="63"/>
      <c r="M18" s="63"/>
      <c r="N18" s="63"/>
      <c r="O18" s="63"/>
      <c r="P18" s="68" t="s">
        <v>11</v>
      </c>
      <c r="Q18" s="70">
        <f>IF(X18="","",X18)</f>
        <v>24547</v>
      </c>
      <c r="R18" s="71">
        <f>SUM(R19:R20)</f>
        <v>31</v>
      </c>
      <c r="S18" s="72">
        <f>IF(S19="","",IF(S19&gt;11,S19-12,S19))</f>
        <v>6</v>
      </c>
      <c r="T18" s="73"/>
      <c r="U18" s="74">
        <f>IF(AI5=1,IF(R18=0,"",IF(R18&lt;AH19,AI19,IF(R18&lt;AH20,AI20,IF(R18&lt;AH21,AI21,IF(R18&lt;AH22,AI22,IF(R18&lt;AH23,AI23,AI24)))))),1)</f>
        <v>1</v>
      </c>
      <c r="V18" s="75">
        <v>35</v>
      </c>
      <c r="W18" s="63"/>
      <c r="X18" s="123">
        <v>24547</v>
      </c>
      <c r="Y18" s="63"/>
      <c r="Z18" s="63"/>
      <c r="AB18" s="6">
        <v>1</v>
      </c>
      <c r="AC18" s="6"/>
      <c r="AD18" s="6"/>
      <c r="AH18" s="22" t="s">
        <v>39</v>
      </c>
      <c r="AI18" s="23" t="s">
        <v>40</v>
      </c>
      <c r="AJ18" s="24" t="s">
        <v>41</v>
      </c>
    </row>
    <row r="19" spans="1:36" x14ac:dyDescent="0.15">
      <c r="A19" s="63"/>
      <c r="B19" s="112"/>
      <c r="C19" s="112"/>
      <c r="D19" s="112"/>
      <c r="E19" s="112"/>
      <c r="F19" s="112"/>
      <c r="G19" s="112"/>
      <c r="H19" s="112"/>
      <c r="I19" s="112"/>
      <c r="J19" s="63"/>
      <c r="K19" s="63"/>
      <c r="L19" s="63"/>
      <c r="M19" s="63"/>
      <c r="N19" s="63"/>
      <c r="O19" s="63"/>
      <c r="P19" s="68" t="s">
        <v>12</v>
      </c>
      <c r="Q19" s="70">
        <f>IF(X19="","",X19)</f>
        <v>33329</v>
      </c>
      <c r="R19" s="76">
        <f>IF(S19="","",IF(S19&gt;11,1,0))</f>
        <v>0</v>
      </c>
      <c r="S19" s="77">
        <f>IF(T20="","",(IF(T21&gt;0,S20+1,S20)))</f>
        <v>6</v>
      </c>
      <c r="T19" s="78"/>
      <c r="U19" s="63">
        <f>IF(R18=0,"",IF(R18&gt;35,35,R18+ROUNDDOWN(S18/12,2)))</f>
        <v>31.5</v>
      </c>
      <c r="V19" s="63"/>
      <c r="W19" s="63"/>
      <c r="X19" s="123">
        <v>33329</v>
      </c>
      <c r="Y19" s="63"/>
      <c r="Z19" s="63"/>
      <c r="AB19" s="6">
        <v>2</v>
      </c>
      <c r="AC19" s="6">
        <v>470</v>
      </c>
      <c r="AD19" s="6" t="s">
        <v>86</v>
      </c>
      <c r="AH19" s="25">
        <v>5</v>
      </c>
      <c r="AI19" s="26">
        <v>0.5</v>
      </c>
      <c r="AJ19" s="27"/>
    </row>
    <row r="20" spans="1:36" ht="15" thickBot="1" x14ac:dyDescent="0.2">
      <c r="A20" s="63"/>
      <c r="B20" s="112"/>
      <c r="C20" s="113" t="s">
        <v>11</v>
      </c>
      <c r="D20" s="155">
        <f>IF(Q18=0,"",Q18)</f>
        <v>24547</v>
      </c>
      <c r="E20" s="155"/>
      <c r="F20" s="155"/>
      <c r="G20" s="112"/>
      <c r="H20" s="112"/>
      <c r="I20" s="112"/>
      <c r="J20" s="63"/>
      <c r="K20" s="63"/>
      <c r="L20" s="63"/>
      <c r="M20" s="63"/>
      <c r="N20" s="63"/>
      <c r="O20" s="63"/>
      <c r="P20" s="68" t="s">
        <v>13</v>
      </c>
      <c r="Q20" s="79" t="str">
        <f>IF(AND(R18=0,S18=0),"",IF(R18&gt;35,"35年(上限)",R18&amp;"年"&amp;S18&amp;"ヶ月"))</f>
        <v>31年6ヶ月</v>
      </c>
      <c r="R20" s="80">
        <f>IF(OR(Q7="",Q19=""),0,DATEDIF(Q19,Q7,"Y"))</f>
        <v>31</v>
      </c>
      <c r="S20" s="81">
        <f>IF(OR(Q7="",Q19=""),0,DATEDIF(Q19,Q7,"YM"))</f>
        <v>5</v>
      </c>
      <c r="T20" s="82">
        <f>IF(OR(Q7="",Q19=""),0,DATEDIF(Q19,Q7,"MD"))</f>
        <v>29</v>
      </c>
      <c r="U20" s="63"/>
      <c r="V20" s="63"/>
      <c r="W20" s="63"/>
      <c r="X20" s="63"/>
      <c r="Y20" s="63"/>
      <c r="Z20" s="63"/>
      <c r="AB20" s="6">
        <v>3</v>
      </c>
      <c r="AC20" s="6">
        <v>489</v>
      </c>
      <c r="AD20" s="6" t="s">
        <v>87</v>
      </c>
      <c r="AH20" s="25">
        <v>10</v>
      </c>
      <c r="AI20" s="26">
        <v>0.6</v>
      </c>
      <c r="AJ20" s="27"/>
    </row>
    <row r="21" spans="1:36" ht="14.25" thickBot="1" x14ac:dyDescent="0.2">
      <c r="A21" s="63"/>
      <c r="B21" s="112"/>
      <c r="C21" s="112"/>
      <c r="D21" s="112"/>
      <c r="E21" s="112"/>
      <c r="F21" s="112"/>
      <c r="G21" s="112"/>
      <c r="H21" s="112"/>
      <c r="I21" s="112"/>
      <c r="J21" s="63"/>
      <c r="K21" s="63"/>
      <c r="L21" s="63"/>
      <c r="M21" s="63"/>
      <c r="N21" s="63"/>
      <c r="O21" s="63"/>
      <c r="P21" s="83" t="s">
        <v>15</v>
      </c>
      <c r="Q21" s="84">
        <v>8692000</v>
      </c>
      <c r="R21" s="63"/>
      <c r="S21" s="63"/>
      <c r="T21" s="85">
        <f>IF(OR(Q7="",Q19=""),0,T20+1)</f>
        <v>30</v>
      </c>
      <c r="U21" s="126" t="s">
        <v>76</v>
      </c>
      <c r="V21" s="127"/>
      <c r="W21" s="63"/>
      <c r="X21" s="63"/>
      <c r="Y21" s="63"/>
      <c r="Z21" s="63"/>
      <c r="AB21" s="6">
        <v>4</v>
      </c>
      <c r="AC21" s="6">
        <v>516</v>
      </c>
      <c r="AD21" s="6" t="s">
        <v>88</v>
      </c>
      <c r="AH21" s="25">
        <v>15</v>
      </c>
      <c r="AI21" s="26">
        <v>0.7</v>
      </c>
      <c r="AJ21" s="27"/>
    </row>
    <row r="22" spans="1:36" ht="14.25" x14ac:dyDescent="0.15">
      <c r="A22" s="63"/>
      <c r="B22" s="112"/>
      <c r="C22" s="113" t="s">
        <v>12</v>
      </c>
      <c r="D22" s="140">
        <f>IF(Q19=0,"",Q19)</f>
        <v>33329</v>
      </c>
      <c r="E22" s="140"/>
      <c r="F22" s="140"/>
      <c r="G22" s="112"/>
      <c r="H22" s="112"/>
      <c r="I22" s="112"/>
      <c r="J22" s="63"/>
      <c r="K22" s="63"/>
      <c r="L22" s="63"/>
      <c r="M22" s="63"/>
      <c r="N22" s="63"/>
      <c r="O22" s="63"/>
      <c r="P22" s="66" t="s">
        <v>69</v>
      </c>
      <c r="Q22" s="86">
        <v>7522000</v>
      </c>
      <c r="R22" s="63"/>
      <c r="S22" s="63"/>
      <c r="T22" s="63"/>
      <c r="U22" s="128"/>
      <c r="V22" s="129"/>
      <c r="W22" s="63"/>
      <c r="X22" s="63"/>
      <c r="Y22" s="63"/>
      <c r="Z22" s="63"/>
      <c r="AB22" s="6">
        <v>5</v>
      </c>
      <c r="AC22" s="6">
        <v>541</v>
      </c>
      <c r="AD22" s="6" t="s">
        <v>89</v>
      </c>
      <c r="AH22" s="25">
        <v>20</v>
      </c>
      <c r="AI22" s="26">
        <v>0.8</v>
      </c>
      <c r="AJ22" s="27"/>
    </row>
    <row r="23" spans="1:36" ht="14.25" thickBot="1" x14ac:dyDescent="0.2">
      <c r="A23" s="63"/>
      <c r="B23" s="112"/>
      <c r="C23" s="112"/>
      <c r="D23" s="112"/>
      <c r="E23" s="112"/>
      <c r="F23" s="112"/>
      <c r="G23" s="112"/>
      <c r="H23" s="112"/>
      <c r="I23" s="112"/>
      <c r="J23" s="63"/>
      <c r="K23" s="63"/>
      <c r="L23" s="63"/>
      <c r="M23" s="63"/>
      <c r="N23" s="63"/>
      <c r="O23" s="63"/>
      <c r="P23" s="68" t="s">
        <v>70</v>
      </c>
      <c r="Q23" s="87">
        <v>8692000</v>
      </c>
      <c r="R23" s="63"/>
      <c r="S23" s="63"/>
      <c r="T23" s="63"/>
      <c r="U23" s="63"/>
      <c r="V23" s="63"/>
      <c r="W23" s="63"/>
      <c r="X23" s="63"/>
      <c r="Y23" s="63"/>
      <c r="Z23" s="63"/>
      <c r="AB23" s="6">
        <v>6</v>
      </c>
      <c r="AC23" s="6">
        <v>572</v>
      </c>
      <c r="AD23" s="6" t="s">
        <v>90</v>
      </c>
      <c r="AH23" s="25">
        <v>25</v>
      </c>
      <c r="AI23" s="26">
        <v>0.9</v>
      </c>
      <c r="AJ23" s="30"/>
    </row>
    <row r="24" spans="1:36" ht="18.75" thickTop="1" thickBot="1" x14ac:dyDescent="0.25">
      <c r="A24" s="63"/>
      <c r="B24" s="112"/>
      <c r="C24" s="113" t="s">
        <v>13</v>
      </c>
      <c r="D24" s="141" t="str">
        <f>DBCS(Q20)</f>
        <v>３１年６ヶ月</v>
      </c>
      <c r="E24" s="141"/>
      <c r="F24" s="141"/>
      <c r="G24" s="112"/>
      <c r="H24" s="112"/>
      <c r="I24" s="112"/>
      <c r="J24" s="63"/>
      <c r="K24" s="63"/>
      <c r="L24" s="63"/>
      <c r="M24" s="63"/>
      <c r="N24" s="63"/>
      <c r="O24" s="63"/>
      <c r="P24" s="88" t="s">
        <v>71</v>
      </c>
      <c r="Q24" s="89">
        <f>IF(OR(Q22="",Q23=""),"",Q23-Q22)</f>
        <v>1170000</v>
      </c>
      <c r="R24" s="63"/>
      <c r="S24" s="63"/>
      <c r="T24" s="63"/>
      <c r="U24" s="63"/>
      <c r="V24" s="63"/>
      <c r="W24" s="63"/>
      <c r="X24" s="63"/>
      <c r="Y24" s="63"/>
      <c r="Z24" s="63"/>
      <c r="AB24" s="6">
        <v>7</v>
      </c>
      <c r="AC24" s="6">
        <v>591</v>
      </c>
      <c r="AD24" s="6" t="s">
        <v>91</v>
      </c>
      <c r="AH24" s="28"/>
      <c r="AI24" s="29">
        <v>1</v>
      </c>
      <c r="AJ24" s="31">
        <v>35</v>
      </c>
    </row>
    <row r="25" spans="1:36" x14ac:dyDescent="0.15">
      <c r="A25" s="63"/>
      <c r="B25" s="112"/>
      <c r="C25" s="112"/>
      <c r="D25" s="112"/>
      <c r="E25" s="112"/>
      <c r="F25" s="112"/>
      <c r="G25" s="112"/>
      <c r="H25" s="112"/>
      <c r="I25" s="112"/>
      <c r="J25" s="63"/>
      <c r="K25" s="63"/>
      <c r="L25" s="63"/>
      <c r="M25" s="111"/>
      <c r="N25" s="63"/>
      <c r="O25" s="63"/>
      <c r="P25" s="66" t="s">
        <v>122</v>
      </c>
      <c r="Q25" s="86">
        <v>7521192</v>
      </c>
      <c r="R25" s="63"/>
      <c r="S25" s="63"/>
      <c r="T25" s="63"/>
      <c r="U25" s="63"/>
      <c r="V25" s="63"/>
      <c r="W25" s="63"/>
      <c r="X25" s="63"/>
      <c r="Y25" s="63"/>
      <c r="Z25" s="63"/>
      <c r="AB25" s="6">
        <v>8</v>
      </c>
      <c r="AC25" s="6">
        <v>600</v>
      </c>
      <c r="AD25" s="6" t="s">
        <v>92</v>
      </c>
    </row>
    <row r="26" spans="1:36" x14ac:dyDescent="0.15">
      <c r="A26" s="63"/>
      <c r="B26" s="112"/>
      <c r="C26" s="112"/>
      <c r="D26" s="112"/>
      <c r="E26" s="112"/>
      <c r="F26" s="112"/>
      <c r="G26" s="112"/>
      <c r="H26" s="112"/>
      <c r="I26" s="112"/>
      <c r="J26" s="63"/>
      <c r="K26" s="63"/>
      <c r="L26" s="63"/>
      <c r="M26" s="111"/>
      <c r="N26" s="63"/>
      <c r="O26" s="63"/>
      <c r="P26" s="68" t="s">
        <v>123</v>
      </c>
      <c r="Q26" s="87">
        <v>8691480</v>
      </c>
      <c r="R26" s="63"/>
      <c r="S26" s="63"/>
      <c r="T26" s="63"/>
      <c r="U26" s="63"/>
      <c r="V26" s="63"/>
      <c r="W26" s="63"/>
      <c r="X26" s="63"/>
      <c r="Y26" s="63"/>
      <c r="Z26" s="63"/>
      <c r="AB26" s="6">
        <v>9</v>
      </c>
      <c r="AC26" s="6">
        <v>602</v>
      </c>
      <c r="AD26" s="6" t="s">
        <v>93</v>
      </c>
    </row>
    <row r="27" spans="1:36" ht="18" thickBot="1" x14ac:dyDescent="0.25">
      <c r="A27" s="63"/>
      <c r="B27" s="112"/>
      <c r="C27" s="115" t="s">
        <v>14</v>
      </c>
      <c r="D27" s="142" t="str">
        <f>IF(Q21=0,"",DBCS(TEXT(Q21,"\##,###,##0.-")))</f>
        <v>¥８，６９２，０００．－</v>
      </c>
      <c r="E27" s="142"/>
      <c r="F27" s="142"/>
      <c r="G27" s="142"/>
      <c r="H27" s="112"/>
      <c r="I27" s="112"/>
      <c r="J27" s="63"/>
      <c r="K27" s="63"/>
      <c r="L27" s="63"/>
      <c r="M27" s="63"/>
      <c r="N27" s="63"/>
      <c r="O27" s="63"/>
      <c r="P27" s="88" t="s">
        <v>71</v>
      </c>
      <c r="Q27" s="89">
        <f>IF(OR(Q25="",Q26=""),"",Q26-Q25)</f>
        <v>1170288</v>
      </c>
      <c r="R27" s="63"/>
      <c r="S27" s="63"/>
      <c r="T27" s="63"/>
      <c r="U27" s="63"/>
      <c r="V27" s="63"/>
      <c r="W27" s="63"/>
      <c r="X27" s="63"/>
      <c r="Y27" s="63"/>
      <c r="Z27" s="63"/>
      <c r="AB27" s="6">
        <v>10</v>
      </c>
      <c r="AC27" s="6">
        <v>605</v>
      </c>
      <c r="AD27" s="6" t="s">
        <v>94</v>
      </c>
    </row>
    <row r="28" spans="1:36" ht="14.25" thickTop="1" x14ac:dyDescent="0.15">
      <c r="A28" s="63"/>
      <c r="B28" s="112"/>
      <c r="C28" s="112"/>
      <c r="D28" s="112"/>
      <c r="E28" s="112"/>
      <c r="F28" s="112"/>
      <c r="G28" s="112"/>
      <c r="H28" s="112"/>
      <c r="I28" s="112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B28" s="6">
        <v>11</v>
      </c>
      <c r="AC28" s="6">
        <v>621</v>
      </c>
      <c r="AD28" s="6" t="s">
        <v>95</v>
      </c>
    </row>
    <row r="29" spans="1:36" x14ac:dyDescent="0.1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B29" s="6">
        <v>12</v>
      </c>
      <c r="AC29" s="6">
        <v>630</v>
      </c>
      <c r="AD29" s="6" t="s">
        <v>96</v>
      </c>
    </row>
    <row r="30" spans="1:36" ht="18" customHeight="1" x14ac:dyDescent="0.15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B30" s="6">
        <v>13</v>
      </c>
      <c r="AC30" s="6">
        <v>637</v>
      </c>
      <c r="AD30" s="6" t="s">
        <v>97</v>
      </c>
    </row>
    <row r="31" spans="1:36" ht="18" customHeight="1" x14ac:dyDescent="0.1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B31" s="6">
        <v>14</v>
      </c>
      <c r="AC31" s="6">
        <v>650</v>
      </c>
      <c r="AD31" s="6" t="s">
        <v>98</v>
      </c>
    </row>
    <row r="32" spans="1:36" x14ac:dyDescent="0.1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B32" s="6">
        <v>15</v>
      </c>
      <c r="AC32" s="6">
        <v>652</v>
      </c>
      <c r="AD32" s="6" t="s">
        <v>99</v>
      </c>
    </row>
    <row r="33" spans="1:30" x14ac:dyDescent="0.15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B33" s="6">
        <v>16</v>
      </c>
      <c r="AC33" s="6">
        <v>653</v>
      </c>
      <c r="AD33" s="6" t="s">
        <v>100</v>
      </c>
    </row>
    <row r="34" spans="1:30" x14ac:dyDescent="0.1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B34" s="6">
        <v>17</v>
      </c>
      <c r="AC34" s="6">
        <v>679</v>
      </c>
      <c r="AD34" s="6" t="s">
        <v>101</v>
      </c>
    </row>
    <row r="35" spans="1:30" x14ac:dyDescent="0.1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B35" s="6">
        <v>18</v>
      </c>
      <c r="AC35" s="6">
        <v>681</v>
      </c>
      <c r="AD35" s="6" t="s">
        <v>102</v>
      </c>
    </row>
    <row r="36" spans="1:30" x14ac:dyDescent="0.15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B36" s="6">
        <v>19</v>
      </c>
      <c r="AC36" s="6">
        <v>700</v>
      </c>
      <c r="AD36" s="6" t="s">
        <v>103</v>
      </c>
    </row>
    <row r="37" spans="1:30" x14ac:dyDescent="0.15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B37" s="6">
        <v>20</v>
      </c>
      <c r="AC37" s="6">
        <v>701</v>
      </c>
      <c r="AD37" s="6" t="s">
        <v>104</v>
      </c>
    </row>
    <row r="38" spans="1:30" x14ac:dyDescent="0.15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B38" s="6">
        <v>21</v>
      </c>
      <c r="AC38" s="6">
        <v>710</v>
      </c>
      <c r="AD38" s="6" t="s">
        <v>105</v>
      </c>
    </row>
    <row r="39" spans="1:30" x14ac:dyDescent="0.15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B39" s="6">
        <v>22</v>
      </c>
      <c r="AC39" s="6">
        <v>714</v>
      </c>
      <c r="AD39" s="6" t="s">
        <v>106</v>
      </c>
    </row>
    <row r="40" spans="1:30" x14ac:dyDescent="0.15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B40" s="6">
        <v>23</v>
      </c>
      <c r="AC40" s="6">
        <v>715</v>
      </c>
      <c r="AD40" s="6" t="s">
        <v>107</v>
      </c>
    </row>
    <row r="41" spans="1:30" x14ac:dyDescent="0.15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B41" s="6">
        <v>24</v>
      </c>
      <c r="AC41" s="6">
        <v>717</v>
      </c>
      <c r="AD41" s="6" t="s">
        <v>108</v>
      </c>
    </row>
    <row r="42" spans="1:30" x14ac:dyDescent="0.15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B42" s="6">
        <v>25</v>
      </c>
      <c r="AC42" s="6">
        <v>719</v>
      </c>
      <c r="AD42" s="6" t="s">
        <v>109</v>
      </c>
    </row>
    <row r="43" spans="1:30" x14ac:dyDescent="0.1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B43" s="6">
        <v>26</v>
      </c>
      <c r="AC43" s="6">
        <v>727</v>
      </c>
      <c r="AD43" s="6" t="s">
        <v>110</v>
      </c>
    </row>
    <row r="44" spans="1:30" x14ac:dyDescent="0.1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B44" s="6">
        <v>27</v>
      </c>
      <c r="AC44" s="6">
        <v>728</v>
      </c>
      <c r="AD44" s="6" t="s">
        <v>111</v>
      </c>
    </row>
    <row r="45" spans="1:30" x14ac:dyDescent="0.15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B45" s="6">
        <v>28</v>
      </c>
      <c r="AC45" s="6">
        <v>732</v>
      </c>
      <c r="AD45" s="6" t="s">
        <v>112</v>
      </c>
    </row>
    <row r="46" spans="1:30" x14ac:dyDescent="0.15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B46" s="6">
        <v>29</v>
      </c>
      <c r="AC46" s="6">
        <v>733</v>
      </c>
      <c r="AD46" s="6" t="s">
        <v>113</v>
      </c>
    </row>
    <row r="47" spans="1:30" x14ac:dyDescent="0.15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B47" s="6">
        <v>30</v>
      </c>
      <c r="AC47" s="6">
        <v>734</v>
      </c>
      <c r="AD47" s="6" t="s">
        <v>114</v>
      </c>
    </row>
    <row r="48" spans="1:30" x14ac:dyDescent="0.15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B48" s="6">
        <v>31</v>
      </c>
      <c r="AC48" s="6">
        <v>740</v>
      </c>
      <c r="AD48" s="6" t="s">
        <v>115</v>
      </c>
    </row>
    <row r="49" spans="1:30" x14ac:dyDescent="0.15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B49" s="6">
        <v>32</v>
      </c>
      <c r="AC49" s="6">
        <v>743</v>
      </c>
      <c r="AD49" s="6" t="s">
        <v>116</v>
      </c>
    </row>
    <row r="50" spans="1:30" x14ac:dyDescent="0.1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B50" s="6">
        <v>33</v>
      </c>
      <c r="AC50" s="6">
        <v>744</v>
      </c>
      <c r="AD50" s="6" t="s">
        <v>117</v>
      </c>
    </row>
    <row r="51" spans="1:30" x14ac:dyDescent="0.15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AB51" s="6">
        <v>34</v>
      </c>
      <c r="AC51" s="6">
        <v>991</v>
      </c>
      <c r="AD51" s="6" t="s">
        <v>118</v>
      </c>
    </row>
    <row r="52" spans="1:30" x14ac:dyDescent="0.15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AB52" s="6">
        <v>35</v>
      </c>
      <c r="AC52" s="6">
        <v>992</v>
      </c>
      <c r="AD52" s="6" t="s">
        <v>119</v>
      </c>
    </row>
    <row r="53" spans="1:30" x14ac:dyDescent="0.15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AB53" s="6">
        <v>36</v>
      </c>
      <c r="AC53" s="6">
        <v>994</v>
      </c>
      <c r="AD53" s="6" t="s">
        <v>120</v>
      </c>
    </row>
    <row r="54" spans="1:30" x14ac:dyDescent="0.15">
      <c r="AB54" s="6">
        <v>37</v>
      </c>
      <c r="AC54" s="6">
        <v>997</v>
      </c>
      <c r="AD54" s="6" t="s">
        <v>121</v>
      </c>
    </row>
    <row r="55" spans="1:30" x14ac:dyDescent="0.15">
      <c r="AB55" s="6">
        <v>38</v>
      </c>
      <c r="AC55" s="6"/>
      <c r="AD55" s="6"/>
    </row>
    <row r="56" spans="1:30" x14ac:dyDescent="0.15">
      <c r="AB56" s="6">
        <v>39</v>
      </c>
      <c r="AC56" s="6"/>
      <c r="AD56" s="6"/>
    </row>
    <row r="57" spans="1:30" x14ac:dyDescent="0.15">
      <c r="AB57" s="6">
        <v>40</v>
      </c>
      <c r="AC57" s="6"/>
      <c r="AD57" s="6"/>
    </row>
    <row r="58" spans="1:30" x14ac:dyDescent="0.15">
      <c r="AB58" s="6">
        <v>41</v>
      </c>
      <c r="AC58" s="6"/>
      <c r="AD58" s="6"/>
    </row>
    <row r="59" spans="1:30" x14ac:dyDescent="0.15">
      <c r="AB59" s="6">
        <v>42</v>
      </c>
      <c r="AC59" s="6"/>
      <c r="AD59" s="6"/>
    </row>
    <row r="60" spans="1:30" ht="14.25" thickBot="1" x14ac:dyDescent="0.2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B60" s="6">
        <v>43</v>
      </c>
      <c r="AC60" s="6"/>
      <c r="AD60" s="6"/>
    </row>
    <row r="61" spans="1:30" ht="20.100000000000001" customHeight="1" x14ac:dyDescent="0.1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B61" s="6">
        <v>44</v>
      </c>
      <c r="AC61" s="6"/>
      <c r="AD61" s="6"/>
    </row>
    <row r="62" spans="1:30" ht="20.100000000000001" customHeight="1" x14ac:dyDescent="0.15">
      <c r="A62" s="136" t="s">
        <v>59</v>
      </c>
      <c r="B62" s="136"/>
      <c r="C62" s="136"/>
      <c r="D62" s="136"/>
      <c r="E62" s="136"/>
      <c r="F62" s="136"/>
      <c r="G62" s="136"/>
      <c r="H62" s="136"/>
      <c r="AB62" s="6">
        <v>45</v>
      </c>
      <c r="AC62" s="6"/>
      <c r="AD62" s="6"/>
    </row>
    <row r="63" spans="1:30" ht="20.100000000000001" customHeight="1" x14ac:dyDescent="0.15">
      <c r="A63" s="136"/>
      <c r="B63" s="136"/>
      <c r="C63" s="136"/>
      <c r="D63" s="136"/>
      <c r="E63" s="136"/>
      <c r="F63" s="136"/>
      <c r="G63" s="136"/>
      <c r="H63" s="136"/>
      <c r="AB63" s="6">
        <v>46</v>
      </c>
      <c r="AC63" s="6"/>
      <c r="AD63" s="6"/>
    </row>
    <row r="64" spans="1:30" ht="20.100000000000001" customHeight="1" x14ac:dyDescent="0.15">
      <c r="AB64" s="6">
        <v>47</v>
      </c>
      <c r="AC64" s="6"/>
      <c r="AD64" s="6"/>
    </row>
    <row r="65" spans="1:30" ht="20.100000000000001" customHeight="1" x14ac:dyDescent="0.15">
      <c r="AB65" s="6">
        <v>48</v>
      </c>
      <c r="AC65" s="6"/>
      <c r="AD65" s="6"/>
    </row>
    <row r="66" spans="1:30" ht="20.100000000000001" customHeight="1" x14ac:dyDescent="0.2">
      <c r="A66" s="124" t="s">
        <v>45</v>
      </c>
      <c r="B66" s="124"/>
      <c r="C66" s="137" t="str">
        <f>IF($AF$5="","",$AF$5)</f>
        <v>鳥居金属興業㈱　大阪支店</v>
      </c>
      <c r="D66" s="137"/>
      <c r="E66" s="137"/>
      <c r="F66" s="137"/>
    </row>
    <row r="67" spans="1:30" ht="20.100000000000001" customHeight="1" x14ac:dyDescent="0.15">
      <c r="C67" s="62">
        <f>IF($G$7="","",$G$7)</f>
        <v>470</v>
      </c>
    </row>
    <row r="68" spans="1:30" ht="20.100000000000001" customHeight="1" x14ac:dyDescent="0.2">
      <c r="A68" s="124" t="s">
        <v>46</v>
      </c>
      <c r="B68" s="124"/>
      <c r="C68" s="137" t="str">
        <f>IF($H$7="","",$H$7)</f>
        <v>岡野　雅次</v>
      </c>
      <c r="D68" s="137"/>
      <c r="E68" s="137"/>
      <c r="F68" s="35"/>
      <c r="G68" s="36" t="str">
        <f>IF($Y$15="","",$Y$15)</f>
        <v/>
      </c>
    </row>
    <row r="69" spans="1:30" ht="20.100000000000001" customHeight="1" x14ac:dyDescent="0.15">
      <c r="A69" s="33"/>
    </row>
    <row r="70" spans="1:30" ht="20.100000000000001" customHeight="1" x14ac:dyDescent="0.2">
      <c r="A70" s="124" t="s">
        <v>47</v>
      </c>
      <c r="B70" s="124"/>
      <c r="C70" s="125">
        <f>IF($X$18="","",$X$18)</f>
        <v>24547</v>
      </c>
      <c r="D70" s="125"/>
      <c r="E70" s="125"/>
      <c r="F70" s="125"/>
    </row>
    <row r="71" spans="1:30" ht="20.100000000000001" customHeight="1" x14ac:dyDescent="0.15">
      <c r="A71" s="33"/>
    </row>
    <row r="72" spans="1:30" ht="20.100000000000001" customHeight="1" x14ac:dyDescent="0.2">
      <c r="A72" s="124" t="s">
        <v>48</v>
      </c>
      <c r="B72" s="124"/>
      <c r="C72" s="125">
        <f>IF($X$19="","",$X$19)</f>
        <v>33329</v>
      </c>
      <c r="D72" s="125"/>
      <c r="E72" s="125"/>
      <c r="F72" s="125"/>
    </row>
    <row r="73" spans="1:30" ht="20.100000000000001" customHeight="1" x14ac:dyDescent="0.15">
      <c r="A73" s="33"/>
    </row>
    <row r="74" spans="1:30" ht="20.100000000000001" customHeight="1" x14ac:dyDescent="0.2">
      <c r="A74" s="124" t="s">
        <v>49</v>
      </c>
      <c r="B74" s="124"/>
      <c r="C74" s="125">
        <f>IF($C$10="","",$C$10)</f>
        <v>44834</v>
      </c>
      <c r="D74" s="125"/>
      <c r="E74" s="125"/>
      <c r="F74" s="125"/>
    </row>
    <row r="75" spans="1:30" ht="20.100000000000001" customHeight="1" x14ac:dyDescent="0.15">
      <c r="A75" s="33"/>
    </row>
    <row r="76" spans="1:30" ht="20.100000000000001" customHeight="1" x14ac:dyDescent="0.2">
      <c r="A76" s="124" t="s">
        <v>50</v>
      </c>
      <c r="B76" s="124"/>
      <c r="C76" s="137" t="str">
        <f>IF($Q$20="","",DBCS($Q$20))</f>
        <v>３１年６ヶ月</v>
      </c>
      <c r="D76" s="137"/>
      <c r="E76" s="137"/>
      <c r="F76" s="137"/>
    </row>
    <row r="77" spans="1:30" ht="20.100000000000001" customHeight="1" x14ac:dyDescent="0.15">
      <c r="A77" s="33"/>
    </row>
    <row r="78" spans="1:30" ht="20.100000000000001" customHeight="1" x14ac:dyDescent="0.2">
      <c r="A78" s="124" t="s">
        <v>51</v>
      </c>
      <c r="B78" s="124"/>
      <c r="C78" s="137" t="str">
        <f>IF($AJ$5="","",$AJ$5)</f>
        <v>自己都合</v>
      </c>
      <c r="D78" s="137"/>
      <c r="E78" s="137"/>
      <c r="F78" s="137"/>
    </row>
    <row r="79" spans="1:30" ht="20.100000000000001" customHeight="1" x14ac:dyDescent="0.15">
      <c r="A79" s="33"/>
    </row>
    <row r="80" spans="1:30" ht="20.100000000000001" customHeight="1" x14ac:dyDescent="0.15">
      <c r="A80" s="124" t="s">
        <v>52</v>
      </c>
      <c r="B80" s="124"/>
    </row>
    <row r="81" spans="1:10" ht="20.100000000000001" customHeight="1" x14ac:dyDescent="0.15">
      <c r="B81" s="40" t="s">
        <v>56</v>
      </c>
      <c r="D81" s="143" t="s">
        <v>60</v>
      </c>
      <c r="E81" s="143"/>
      <c r="F81" s="39" t="s">
        <v>61</v>
      </c>
    </row>
    <row r="82" spans="1:10" ht="20.100000000000001" customHeight="1" x14ac:dyDescent="0.2">
      <c r="A82" s="37" t="s">
        <v>54</v>
      </c>
      <c r="B82" s="41">
        <f>IF($X$16="","",$X$16)</f>
        <v>298460</v>
      </c>
      <c r="D82" s="135" t="str">
        <f>IF($AE$5="","","×" &amp; $AE$5 &amp; "×" &amp; $U$18)</f>
        <v>×0.8×1</v>
      </c>
      <c r="E82" s="135"/>
      <c r="F82" s="36" t="str">
        <f>IF($U$19="","","×" &amp; $U$19)</f>
        <v>×31.5</v>
      </c>
    </row>
    <row r="83" spans="1:10" ht="24.95" customHeight="1" x14ac:dyDescent="0.2">
      <c r="B83" s="153" t="str">
        <f>IF($X$16="","","＝   　" &amp; TEXT(Q25,"###,###,##0") &amp; "    ≒")</f>
        <v>＝   　7,521,192    ≒</v>
      </c>
      <c r="C83" s="153"/>
      <c r="D83" s="154" t="str">
        <f>IF($X$16="","",DBCS(TEXT($Q$22,"###,###,##0")))</f>
        <v>７，５２２，０００</v>
      </c>
      <c r="E83" s="154"/>
      <c r="F83" s="154"/>
    </row>
    <row r="84" spans="1:10" ht="20.100000000000001" customHeight="1" x14ac:dyDescent="0.15"/>
    <row r="85" spans="1:10" ht="20.100000000000001" customHeight="1" x14ac:dyDescent="0.15">
      <c r="B85" s="40" t="s">
        <v>57</v>
      </c>
      <c r="C85" s="40" t="s">
        <v>58</v>
      </c>
      <c r="D85" s="143" t="s">
        <v>60</v>
      </c>
      <c r="E85" s="143"/>
      <c r="F85" s="39" t="s">
        <v>61</v>
      </c>
    </row>
    <row r="86" spans="1:10" ht="20.100000000000001" customHeight="1" x14ac:dyDescent="0.2">
      <c r="A86" s="37" t="s">
        <v>55</v>
      </c>
      <c r="B86" s="43" t="str">
        <f>IF($X$16="","","(  " &amp; TEXT($X$16,"###,##0"))</f>
        <v>(  298,460</v>
      </c>
      <c r="C86" s="42" t="str">
        <f>IF($X$17="","","+ " &amp; TEXT($X$17,"###,##0)"))</f>
        <v>+ 46,440)</v>
      </c>
      <c r="D86" s="135" t="str">
        <f>IF($AE$5="","","×" &amp; $AE$5 &amp; "×" &amp; $U$18)</f>
        <v>×0.8×1</v>
      </c>
      <c r="E86" s="135"/>
      <c r="F86" s="36" t="str">
        <f>IF($U$19="","","×" &amp; $U$19)</f>
        <v>×31.5</v>
      </c>
    </row>
    <row r="87" spans="1:10" ht="24.95" customHeight="1" x14ac:dyDescent="0.2">
      <c r="B87" s="153" t="str">
        <f>IF($X$16="","","＝   　" &amp; TEXT(Q26,"###,###,##0") &amp; "    ≒")</f>
        <v>＝   　8,691,480    ≒</v>
      </c>
      <c r="C87" s="153"/>
      <c r="D87" s="154" t="str">
        <f>IF($X$16="","",DBCS(TEXT($Q$23,"###,###,##0")))</f>
        <v>８，６９２，０００</v>
      </c>
      <c r="E87" s="154"/>
      <c r="F87" s="154"/>
    </row>
    <row r="88" spans="1:10" ht="20.100000000000001" customHeight="1" x14ac:dyDescent="0.15"/>
    <row r="89" spans="1:10" ht="20.100000000000001" customHeight="1" x14ac:dyDescent="0.2">
      <c r="B89" s="57" t="s">
        <v>64</v>
      </c>
    </row>
    <row r="90" spans="1:10" ht="20.100000000000001" customHeight="1" x14ac:dyDescent="0.2">
      <c r="B90" s="56"/>
      <c r="C90" s="49"/>
      <c r="D90" s="49"/>
      <c r="E90" s="49"/>
      <c r="F90" s="49"/>
      <c r="G90" s="50"/>
      <c r="H90" s="48"/>
      <c r="I90" s="48"/>
      <c r="J90" s="48"/>
    </row>
    <row r="91" spans="1:10" ht="24.95" customHeight="1" x14ac:dyDescent="0.2">
      <c r="A91" s="46"/>
      <c r="B91" s="51" t="s">
        <v>14</v>
      </c>
      <c r="C91" s="52" t="s">
        <v>54</v>
      </c>
      <c r="D91" s="130" t="str">
        <f>IF($Q$22="","",DBCS(TEXT($Q$22,"###,###,##0 ")))</f>
        <v>７，５２２，０００　</v>
      </c>
      <c r="E91" s="130"/>
      <c r="F91" s="130"/>
      <c r="G91" s="53"/>
      <c r="H91" s="48"/>
      <c r="I91" s="48"/>
      <c r="J91" s="48"/>
    </row>
    <row r="92" spans="1:10" ht="24.95" customHeight="1" x14ac:dyDescent="0.2">
      <c r="A92" s="46"/>
      <c r="B92" s="51"/>
      <c r="C92" s="52"/>
      <c r="D92" s="59"/>
      <c r="E92" s="59"/>
      <c r="F92" s="59"/>
      <c r="G92" s="53"/>
      <c r="H92" s="48"/>
      <c r="I92" s="48"/>
      <c r="J92" s="48"/>
    </row>
    <row r="93" spans="1:10" ht="24.95" customHeight="1" thickBot="1" x14ac:dyDescent="0.25">
      <c r="A93" s="46"/>
      <c r="B93" s="51" t="s">
        <v>66</v>
      </c>
      <c r="C93" s="52" t="s">
        <v>54</v>
      </c>
      <c r="D93" s="131" t="str">
        <f>D91</f>
        <v>７，５２２，０００　</v>
      </c>
      <c r="E93" s="131"/>
      <c r="F93" s="131"/>
      <c r="G93" s="53"/>
      <c r="H93" s="48"/>
      <c r="I93" s="48"/>
      <c r="J93" s="48"/>
    </row>
    <row r="94" spans="1:10" ht="20.100000000000001" customHeight="1" thickTop="1" x14ac:dyDescent="0.15">
      <c r="B94" s="54"/>
      <c r="C94" s="44"/>
      <c r="D94" s="44"/>
      <c r="E94" s="44"/>
      <c r="F94" s="44"/>
      <c r="G94" s="55"/>
    </row>
    <row r="95" spans="1:10" ht="20.100000000000001" customHeight="1" x14ac:dyDescent="0.15"/>
    <row r="96" spans="1:10" ht="20.100000000000001" customHeight="1" x14ac:dyDescent="0.2">
      <c r="B96" s="58" t="s">
        <v>63</v>
      </c>
    </row>
    <row r="97" spans="1:26" ht="20.100000000000001" customHeight="1" x14ac:dyDescent="0.2">
      <c r="B97" s="56"/>
      <c r="C97" s="49"/>
      <c r="D97" s="49"/>
      <c r="E97" s="49"/>
      <c r="F97" s="49"/>
      <c r="G97" s="50"/>
    </row>
    <row r="98" spans="1:26" ht="20.100000000000001" customHeight="1" x14ac:dyDescent="0.2">
      <c r="B98" s="51" t="s">
        <v>14</v>
      </c>
      <c r="C98" s="52" t="s">
        <v>54</v>
      </c>
      <c r="D98" s="130" t="str">
        <f>IF($Q$22="","",DBCS(TEXT($Q$22,"###,###,##0 ")))</f>
        <v>７，５２２，０００　</v>
      </c>
      <c r="E98" s="130"/>
      <c r="F98" s="130"/>
      <c r="G98" s="53"/>
    </row>
    <row r="99" spans="1:26" ht="20.100000000000001" customHeight="1" x14ac:dyDescent="0.2">
      <c r="B99" s="51" t="s">
        <v>65</v>
      </c>
      <c r="C99" s="52" t="s">
        <v>62</v>
      </c>
      <c r="D99" s="60" t="s">
        <v>72</v>
      </c>
      <c r="E99" s="130" t="str">
        <f>IF($Q$22="","",DBCS(TEXT($Q$24,"###,###,##0 ")))</f>
        <v>１，１７０，０００　</v>
      </c>
      <c r="F99" s="130"/>
      <c r="G99" s="53"/>
    </row>
    <row r="100" spans="1:26" ht="20.100000000000001" customHeight="1" thickBot="1" x14ac:dyDescent="0.25">
      <c r="B100" s="51" t="s">
        <v>66</v>
      </c>
      <c r="C100" s="52" t="s">
        <v>54</v>
      </c>
      <c r="D100" s="61" t="s">
        <v>73</v>
      </c>
      <c r="E100" s="131" t="str">
        <f>IF($Q$22="","",DBCS(TEXT(D98+E99,"###,###,##0 ")))</f>
        <v>８，６９２，０００　</v>
      </c>
      <c r="F100" s="131"/>
      <c r="G100" s="53"/>
    </row>
    <row r="101" spans="1:26" ht="20.100000000000001" customHeight="1" thickTop="1" x14ac:dyDescent="0.2">
      <c r="B101" s="54"/>
      <c r="C101" s="44"/>
      <c r="D101" s="44"/>
      <c r="E101" s="44"/>
      <c r="F101" s="44"/>
      <c r="G101" s="55"/>
      <c r="H101" s="34"/>
      <c r="I101" s="34"/>
      <c r="J101" s="34"/>
    </row>
    <row r="102" spans="1:26" ht="20.100000000000001" customHeight="1" x14ac:dyDescent="0.15"/>
    <row r="103" spans="1:26" ht="20.100000000000001" customHeight="1" x14ac:dyDescent="0.15">
      <c r="B103" s="132" t="s">
        <v>68</v>
      </c>
      <c r="C103" s="133"/>
      <c r="D103" s="133"/>
      <c r="E103" s="133"/>
      <c r="F103" s="133"/>
    </row>
    <row r="104" spans="1:26" ht="20.100000000000001" customHeight="1" x14ac:dyDescent="0.15"/>
    <row r="105" spans="1:26" ht="20.100000000000001" customHeight="1" x14ac:dyDescent="0.2">
      <c r="C105" s="45"/>
      <c r="D105" s="135" t="s">
        <v>67</v>
      </c>
      <c r="E105" s="135"/>
      <c r="F105" s="134">
        <f ca="1">NOW()</f>
        <v>44746.424086805557</v>
      </c>
      <c r="G105" s="134"/>
      <c r="H105" s="134"/>
    </row>
    <row r="106" spans="1:26" ht="20.100000000000001" customHeight="1" x14ac:dyDescent="0.15"/>
    <row r="107" spans="1:26" ht="20.100000000000001" customHeight="1" x14ac:dyDescent="0.15"/>
    <row r="110" spans="1:26" ht="14.25" thickBot="1" x14ac:dyDescent="0.2">
      <c r="A110" s="32" t="s">
        <v>75</v>
      </c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</row>
    <row r="111" spans="1:26" ht="20.100000000000001" customHeight="1" x14ac:dyDescent="0.1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ht="20.100000000000001" customHeight="1" x14ac:dyDescent="0.1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ht="20.100000000000001" customHeight="1" x14ac:dyDescent="0.1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ht="20.100000000000001" customHeight="1" x14ac:dyDescent="0.1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ht="20.100000000000001" customHeight="1" x14ac:dyDescent="0.15">
      <c r="A115" s="136" t="s">
        <v>59</v>
      </c>
      <c r="B115" s="136"/>
      <c r="C115" s="136"/>
      <c r="D115" s="136"/>
      <c r="E115" s="136"/>
      <c r="F115" s="136"/>
      <c r="G115" s="136"/>
      <c r="H115" s="136"/>
    </row>
    <row r="116" spans="1:26" ht="20.100000000000001" customHeight="1" x14ac:dyDescent="0.15">
      <c r="A116" s="136"/>
      <c r="B116" s="136"/>
      <c r="C116" s="136"/>
      <c r="D116" s="136"/>
      <c r="E116" s="136"/>
      <c r="F116" s="136"/>
      <c r="G116" s="136"/>
      <c r="H116" s="136"/>
    </row>
    <row r="117" spans="1:26" ht="20.100000000000001" customHeight="1" x14ac:dyDescent="0.15"/>
    <row r="118" spans="1:26" ht="20.100000000000001" customHeight="1" x14ac:dyDescent="0.15"/>
    <row r="119" spans="1:26" ht="20.100000000000001" customHeight="1" x14ac:dyDescent="0.2">
      <c r="A119" s="124" t="s">
        <v>45</v>
      </c>
      <c r="B119" s="124"/>
      <c r="C119" s="137" t="str">
        <f>IF($AF$5="","",$AF$5)</f>
        <v>鳥居金属興業㈱　大阪支店</v>
      </c>
      <c r="D119" s="137"/>
      <c r="E119" s="137"/>
      <c r="F119" s="137"/>
    </row>
    <row r="120" spans="1:26" ht="20.100000000000001" customHeight="1" x14ac:dyDescent="0.15">
      <c r="C120" s="62">
        <f>IF($G$7="","",$G$7)</f>
        <v>470</v>
      </c>
    </row>
    <row r="121" spans="1:26" ht="20.100000000000001" customHeight="1" x14ac:dyDescent="0.2">
      <c r="A121" s="124" t="s">
        <v>46</v>
      </c>
      <c r="B121" s="124"/>
      <c r="C121" s="137" t="str">
        <f>IF($H$7="","",$H$7)</f>
        <v>岡野　雅次</v>
      </c>
      <c r="D121" s="137"/>
      <c r="E121" s="137"/>
      <c r="F121" s="35" t="s">
        <v>53</v>
      </c>
      <c r="G121" s="36" t="str">
        <f>IF($Y$15="","",$Y$15)</f>
        <v/>
      </c>
    </row>
    <row r="122" spans="1:26" ht="20.100000000000001" customHeight="1" x14ac:dyDescent="0.15">
      <c r="A122" s="33"/>
    </row>
    <row r="123" spans="1:26" ht="20.100000000000001" customHeight="1" x14ac:dyDescent="0.2">
      <c r="A123" s="124" t="s">
        <v>47</v>
      </c>
      <c r="B123" s="124"/>
      <c r="C123" s="125">
        <f>IF($X$18="","",$X$18)</f>
        <v>24547</v>
      </c>
      <c r="D123" s="125"/>
      <c r="E123" s="125"/>
      <c r="F123" s="125"/>
    </row>
    <row r="124" spans="1:26" ht="20.100000000000001" customHeight="1" x14ac:dyDescent="0.15">
      <c r="A124" s="33"/>
    </row>
    <row r="125" spans="1:26" ht="20.100000000000001" customHeight="1" x14ac:dyDescent="0.2">
      <c r="A125" s="124" t="s">
        <v>48</v>
      </c>
      <c r="B125" s="124"/>
      <c r="C125" s="125">
        <f>IF($X$19="","",$X$19)</f>
        <v>33329</v>
      </c>
      <c r="D125" s="125"/>
      <c r="E125" s="125"/>
      <c r="F125" s="125"/>
    </row>
    <row r="126" spans="1:26" ht="20.100000000000001" customHeight="1" x14ac:dyDescent="0.15">
      <c r="A126" s="33"/>
    </row>
    <row r="127" spans="1:26" ht="20.100000000000001" customHeight="1" x14ac:dyDescent="0.2">
      <c r="A127" s="124" t="s">
        <v>49</v>
      </c>
      <c r="B127" s="124"/>
      <c r="C127" s="125">
        <f>IF($C$10="","",$C$10)</f>
        <v>44834</v>
      </c>
      <c r="D127" s="125"/>
      <c r="E127" s="125"/>
      <c r="F127" s="125"/>
    </row>
    <row r="128" spans="1:26" ht="20.100000000000001" customHeight="1" x14ac:dyDescent="0.15">
      <c r="A128" s="33"/>
    </row>
    <row r="129" spans="1:10" ht="20.100000000000001" customHeight="1" x14ac:dyDescent="0.2">
      <c r="A129" s="124" t="s">
        <v>50</v>
      </c>
      <c r="B129" s="124"/>
      <c r="C129" s="137" t="str">
        <f>IF($Q$20="","",DBCS($Q$20))</f>
        <v>３１年６ヶ月</v>
      </c>
      <c r="D129" s="137"/>
      <c r="E129" s="137"/>
      <c r="F129" s="137"/>
    </row>
    <row r="130" spans="1:10" ht="20.100000000000001" customHeight="1" x14ac:dyDescent="0.15">
      <c r="A130" s="33"/>
    </row>
    <row r="131" spans="1:10" ht="20.100000000000001" customHeight="1" x14ac:dyDescent="0.2">
      <c r="A131" s="124" t="s">
        <v>51</v>
      </c>
      <c r="B131" s="124"/>
      <c r="C131" s="137" t="str">
        <f>IF($AJ$5="","",$AJ$5)</f>
        <v>自己都合</v>
      </c>
      <c r="D131" s="137"/>
      <c r="E131" s="137"/>
      <c r="F131" s="137"/>
    </row>
    <row r="132" spans="1:10" ht="20.100000000000001" customHeight="1" x14ac:dyDescent="0.15">
      <c r="A132" s="33"/>
    </row>
    <row r="133" spans="1:10" ht="20.100000000000001" customHeight="1" x14ac:dyDescent="0.15">
      <c r="A133" s="124" t="s">
        <v>52</v>
      </c>
      <c r="B133" s="124"/>
    </row>
    <row r="134" spans="1:10" ht="20.100000000000001" customHeight="1" x14ac:dyDescent="0.15">
      <c r="B134" s="40" t="s">
        <v>56</v>
      </c>
      <c r="D134" s="143" t="s">
        <v>60</v>
      </c>
      <c r="E134" s="143"/>
      <c r="F134" s="39" t="s">
        <v>61</v>
      </c>
    </row>
    <row r="135" spans="1:10" ht="20.100000000000001" customHeight="1" x14ac:dyDescent="0.2">
      <c r="A135" s="37"/>
      <c r="B135" s="41">
        <f>IF($X$16="","",$X$16)</f>
        <v>298460</v>
      </c>
      <c r="D135" s="135" t="str">
        <f>IF($AE$5="","","×" &amp; $AE$5 &amp; "×" &amp; $U$18)</f>
        <v>×0.8×1</v>
      </c>
      <c r="E135" s="135"/>
      <c r="F135" s="36" t="str">
        <f>IF($U$19="","","×" &amp; $U$19)</f>
        <v>×31.5</v>
      </c>
    </row>
    <row r="136" spans="1:10" ht="24.95" customHeight="1" x14ac:dyDescent="0.2">
      <c r="B136" s="153" t="str">
        <f>IF($X$16="","","＝   　" &amp; TEXT(Q25,"###,###,##0") &amp; "    ≒")</f>
        <v>＝   　7,521,192    ≒</v>
      </c>
      <c r="C136" s="153"/>
      <c r="D136" s="154">
        <f>Q22</f>
        <v>7522000</v>
      </c>
      <c r="E136" s="154"/>
      <c r="F136" s="154"/>
    </row>
    <row r="137" spans="1:10" ht="20.100000000000001" customHeight="1" x14ac:dyDescent="0.15"/>
    <row r="138" spans="1:10" ht="20.100000000000001" customHeight="1" x14ac:dyDescent="0.2">
      <c r="B138" s="56"/>
      <c r="C138" s="91" t="s">
        <v>77</v>
      </c>
      <c r="D138" s="49"/>
      <c r="E138" s="49"/>
      <c r="F138" s="49"/>
      <c r="G138" s="50"/>
      <c r="H138" s="48"/>
      <c r="I138" s="48"/>
      <c r="J138" s="48"/>
    </row>
    <row r="139" spans="1:10" ht="24.95" customHeight="1" x14ac:dyDescent="0.2">
      <c r="A139" s="46"/>
      <c r="B139" s="94" t="s">
        <v>15</v>
      </c>
      <c r="C139" s="92">
        <v>44839</v>
      </c>
      <c r="D139" s="157">
        <v>2510000</v>
      </c>
      <c r="E139" s="157"/>
      <c r="F139" s="157"/>
      <c r="G139" s="53"/>
      <c r="H139" s="48"/>
      <c r="I139" s="48"/>
      <c r="J139" s="48"/>
    </row>
    <row r="140" spans="1:10" ht="24.95" customHeight="1" x14ac:dyDescent="0.2">
      <c r="A140" s="46"/>
      <c r="B140" s="51"/>
      <c r="C140" s="92">
        <v>44872</v>
      </c>
      <c r="D140" s="157">
        <v>2510000</v>
      </c>
      <c r="E140" s="157"/>
      <c r="F140" s="157"/>
      <c r="G140" s="53"/>
      <c r="H140" s="48"/>
      <c r="I140" s="48"/>
      <c r="J140" s="48"/>
    </row>
    <row r="141" spans="1:10" ht="24.95" customHeight="1" thickBot="1" x14ac:dyDescent="0.25">
      <c r="A141" s="46"/>
      <c r="B141" s="51"/>
      <c r="C141" s="93">
        <v>44900</v>
      </c>
      <c r="D141" s="159">
        <v>2502000</v>
      </c>
      <c r="E141" s="159"/>
      <c r="F141" s="159"/>
      <c r="G141" s="53"/>
      <c r="H141" s="48"/>
      <c r="I141" s="48"/>
      <c r="J141" s="48"/>
    </row>
    <row r="142" spans="1:10" ht="24.95" customHeight="1" thickTop="1" x14ac:dyDescent="0.2">
      <c r="A142" s="46"/>
      <c r="B142" s="94" t="s">
        <v>79</v>
      </c>
      <c r="C142" s="52"/>
      <c r="D142" s="156">
        <f>SUM(D139:F141)</f>
        <v>7522000</v>
      </c>
      <c r="E142" s="130"/>
      <c r="F142" s="130"/>
      <c r="G142" s="53"/>
      <c r="H142" s="48"/>
      <c r="I142" s="48"/>
      <c r="J142" s="48"/>
    </row>
    <row r="143" spans="1:10" ht="20.100000000000001" customHeight="1" x14ac:dyDescent="0.15">
      <c r="B143" s="54"/>
      <c r="C143" s="44"/>
      <c r="D143" s="44"/>
      <c r="E143" s="44"/>
      <c r="F143" s="44"/>
      <c r="G143" s="55"/>
    </row>
    <row r="144" spans="1:10" ht="20.100000000000001" customHeight="1" x14ac:dyDescent="0.15"/>
    <row r="145" spans="1:26" ht="20.100000000000001" customHeight="1" x14ac:dyDescent="0.2">
      <c r="A145" s="48"/>
      <c r="B145" s="48"/>
      <c r="C145" s="100"/>
      <c r="D145" s="101"/>
      <c r="E145" s="101"/>
      <c r="F145" s="102"/>
      <c r="G145" s="102"/>
      <c r="H145" s="48"/>
    </row>
    <row r="146" spans="1:26" ht="20.100000000000001" customHeight="1" x14ac:dyDescent="0.2">
      <c r="A146" s="48"/>
      <c r="B146" s="48"/>
      <c r="C146" s="100"/>
      <c r="D146" s="103"/>
      <c r="E146" s="103"/>
      <c r="F146" s="158"/>
      <c r="G146" s="158"/>
      <c r="H146" s="158"/>
    </row>
    <row r="147" spans="1:26" ht="20.100000000000001" customHeight="1" x14ac:dyDescent="0.2">
      <c r="C147" s="45"/>
      <c r="D147" s="38"/>
      <c r="E147" s="38"/>
      <c r="F147" s="47"/>
      <c r="G147" s="47"/>
      <c r="H147" s="47"/>
    </row>
    <row r="148" spans="1:26" ht="20.100000000000001" customHeight="1" x14ac:dyDescent="0.2">
      <c r="C148" s="45"/>
      <c r="D148" s="135" t="s">
        <v>67</v>
      </c>
      <c r="E148" s="135"/>
      <c r="F148" s="134">
        <f ca="1">NOW()</f>
        <v>44746.424086805557</v>
      </c>
      <c r="G148" s="134"/>
      <c r="H148" s="134"/>
    </row>
    <row r="149" spans="1:26" ht="20.100000000000001" customHeight="1" x14ac:dyDescent="0.2">
      <c r="C149" s="45"/>
      <c r="D149" s="38"/>
      <c r="E149" s="38"/>
      <c r="F149" s="47"/>
      <c r="G149" s="47"/>
      <c r="H149" s="47"/>
    </row>
    <row r="150" spans="1:26" ht="20.100000000000001" customHeight="1" x14ac:dyDescent="0.2">
      <c r="C150" s="45"/>
      <c r="D150" s="38"/>
      <c r="E150" s="38"/>
      <c r="F150" s="47"/>
      <c r="G150" s="47"/>
      <c r="H150" s="47"/>
    </row>
    <row r="151" spans="1:26" ht="20.100000000000001" customHeight="1" x14ac:dyDescent="0.2">
      <c r="C151" s="45"/>
      <c r="D151" s="38"/>
      <c r="E151" s="38"/>
      <c r="F151" s="47"/>
      <c r="G151" s="47"/>
      <c r="H151" s="47"/>
    </row>
    <row r="152" spans="1:26" ht="20.100000000000001" customHeight="1" x14ac:dyDescent="0.2">
      <c r="C152" s="45"/>
      <c r="D152" s="38"/>
      <c r="E152" s="38"/>
      <c r="F152" s="47"/>
      <c r="G152" s="47"/>
      <c r="H152" s="47"/>
    </row>
    <row r="153" spans="1:26" ht="20.100000000000001" customHeight="1" x14ac:dyDescent="0.2">
      <c r="C153" s="45"/>
      <c r="D153" s="38"/>
      <c r="E153" s="38"/>
      <c r="F153" s="47"/>
      <c r="G153" s="47"/>
      <c r="H153" s="47"/>
    </row>
    <row r="154" spans="1:26" ht="20.100000000000001" customHeight="1" x14ac:dyDescent="0.15"/>
    <row r="155" spans="1:26" ht="20.100000000000001" customHeight="1" x14ac:dyDescent="0.15"/>
    <row r="160" spans="1:26" ht="14.25" thickBot="1" x14ac:dyDescent="0.2">
      <c r="A160" s="32" t="s">
        <v>74</v>
      </c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</row>
    <row r="161" spans="1:26" ht="20.100000000000001" customHeight="1" x14ac:dyDescent="0.1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ht="20.100000000000001" customHeight="1" x14ac:dyDescent="0.1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ht="20.100000000000001" customHeight="1" x14ac:dyDescent="0.1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ht="20.100000000000001" customHeight="1" x14ac:dyDescent="0.1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ht="20.100000000000001" customHeight="1" x14ac:dyDescent="0.15">
      <c r="A165" s="136" t="s">
        <v>59</v>
      </c>
      <c r="B165" s="136"/>
      <c r="C165" s="136"/>
      <c r="D165" s="136"/>
      <c r="E165" s="136"/>
      <c r="F165" s="136"/>
      <c r="G165" s="136"/>
      <c r="H165" s="136"/>
    </row>
    <row r="166" spans="1:26" ht="20.100000000000001" customHeight="1" x14ac:dyDescent="0.15">
      <c r="A166" s="136"/>
      <c r="B166" s="136"/>
      <c r="C166" s="136"/>
      <c r="D166" s="136"/>
      <c r="E166" s="136"/>
      <c r="F166" s="136"/>
      <c r="G166" s="136"/>
      <c r="H166" s="136"/>
    </row>
    <row r="167" spans="1:26" ht="20.100000000000001" customHeight="1" x14ac:dyDescent="0.15"/>
    <row r="168" spans="1:26" ht="20.100000000000001" customHeight="1" x14ac:dyDescent="0.15"/>
    <row r="169" spans="1:26" ht="20.100000000000001" customHeight="1" x14ac:dyDescent="0.2">
      <c r="A169" s="124" t="s">
        <v>45</v>
      </c>
      <c r="B169" s="124"/>
      <c r="C169" s="137" t="str">
        <f>IF($AF$5="","",$AF$5)</f>
        <v>鳥居金属興業㈱　大阪支店</v>
      </c>
      <c r="D169" s="137"/>
      <c r="E169" s="137"/>
      <c r="F169" s="137"/>
    </row>
    <row r="170" spans="1:26" ht="20.100000000000001" customHeight="1" x14ac:dyDescent="0.15">
      <c r="C170" s="62">
        <f>IF($G$7="","",$G$7)</f>
        <v>470</v>
      </c>
    </row>
    <row r="171" spans="1:26" ht="20.100000000000001" customHeight="1" x14ac:dyDescent="0.2">
      <c r="A171" s="124" t="s">
        <v>46</v>
      </c>
      <c r="B171" s="124"/>
      <c r="C171" s="137" t="str">
        <f>IF($H$7="","",$H$7)</f>
        <v>岡野　雅次</v>
      </c>
      <c r="D171" s="137"/>
      <c r="E171" s="137"/>
      <c r="F171" s="35" t="s">
        <v>53</v>
      </c>
      <c r="G171" s="36" t="str">
        <f>IF($Y$15="","",$Y$15)</f>
        <v/>
      </c>
    </row>
    <row r="172" spans="1:26" ht="20.100000000000001" customHeight="1" x14ac:dyDescent="0.15">
      <c r="A172" s="33"/>
    </row>
    <row r="173" spans="1:26" ht="20.100000000000001" customHeight="1" x14ac:dyDescent="0.2">
      <c r="A173" s="124" t="s">
        <v>47</v>
      </c>
      <c r="B173" s="124"/>
      <c r="C173" s="125">
        <f>IF($X$18="","",$X$18)</f>
        <v>24547</v>
      </c>
      <c r="D173" s="125"/>
      <c r="E173" s="125"/>
      <c r="F173" s="125"/>
    </row>
    <row r="174" spans="1:26" ht="20.100000000000001" customHeight="1" x14ac:dyDescent="0.15">
      <c r="A174" s="33"/>
    </row>
    <row r="175" spans="1:26" ht="20.100000000000001" customHeight="1" x14ac:dyDescent="0.2">
      <c r="A175" s="124" t="s">
        <v>48</v>
      </c>
      <c r="B175" s="124"/>
      <c r="C175" s="125">
        <f>IF($X$19="","",$X$19)</f>
        <v>33329</v>
      </c>
      <c r="D175" s="125"/>
      <c r="E175" s="125"/>
      <c r="F175" s="125"/>
    </row>
    <row r="176" spans="1:26" ht="20.100000000000001" customHeight="1" x14ac:dyDescent="0.15">
      <c r="A176" s="33"/>
    </row>
    <row r="177" spans="1:7" ht="20.100000000000001" customHeight="1" x14ac:dyDescent="0.2">
      <c r="A177" s="124" t="s">
        <v>49</v>
      </c>
      <c r="B177" s="124"/>
      <c r="C177" s="125">
        <f>IF($C$10="","",$C$10)</f>
        <v>44834</v>
      </c>
      <c r="D177" s="125"/>
      <c r="E177" s="125"/>
      <c r="F177" s="125"/>
    </row>
    <row r="178" spans="1:7" ht="20.100000000000001" customHeight="1" x14ac:dyDescent="0.15">
      <c r="A178" s="33"/>
    </row>
    <row r="179" spans="1:7" ht="20.100000000000001" customHeight="1" x14ac:dyDescent="0.2">
      <c r="A179" s="124" t="s">
        <v>50</v>
      </c>
      <c r="B179" s="124"/>
      <c r="C179" s="137" t="str">
        <f>IF($Q$20="","",DBCS($Q$20))</f>
        <v>３１年６ヶ月</v>
      </c>
      <c r="D179" s="137"/>
      <c r="E179" s="137"/>
      <c r="F179" s="137"/>
    </row>
    <row r="180" spans="1:7" ht="20.100000000000001" customHeight="1" x14ac:dyDescent="0.15">
      <c r="A180" s="33"/>
    </row>
    <row r="181" spans="1:7" ht="20.100000000000001" customHeight="1" x14ac:dyDescent="0.2">
      <c r="A181" s="124" t="s">
        <v>51</v>
      </c>
      <c r="B181" s="124"/>
      <c r="C181" s="137" t="str">
        <f>IF($AJ$5="","",$AJ$5)</f>
        <v>自己都合</v>
      </c>
      <c r="D181" s="137"/>
      <c r="E181" s="137"/>
      <c r="F181" s="137"/>
    </row>
    <row r="182" spans="1:7" ht="20.100000000000001" customHeight="1" x14ac:dyDescent="0.15">
      <c r="A182" s="33"/>
    </row>
    <row r="183" spans="1:7" ht="20.100000000000001" customHeight="1" x14ac:dyDescent="0.15">
      <c r="A183" s="124" t="s">
        <v>52</v>
      </c>
      <c r="B183" s="124"/>
    </row>
    <row r="184" spans="1:7" ht="20.100000000000001" customHeight="1" x14ac:dyDescent="0.15">
      <c r="B184" s="40" t="s">
        <v>57</v>
      </c>
      <c r="C184" s="40" t="s">
        <v>58</v>
      </c>
      <c r="D184" s="143" t="s">
        <v>60</v>
      </c>
      <c r="E184" s="143"/>
      <c r="F184" s="39" t="s">
        <v>61</v>
      </c>
    </row>
    <row r="185" spans="1:7" ht="20.100000000000001" customHeight="1" x14ac:dyDescent="0.2">
      <c r="A185" s="37"/>
      <c r="B185" s="43" t="str">
        <f>IF($X$16="","","(  " &amp; TEXT($X$16,"###,##0"))</f>
        <v>(  298,460</v>
      </c>
      <c r="C185" s="42" t="str">
        <f>IF($X$17="","","+ " &amp; TEXT($X$17,"###,##0)"))</f>
        <v>+ 46,440)</v>
      </c>
      <c r="D185" s="135" t="str">
        <f>IF($AE$5="","","×" &amp; $AE$5 &amp; "×" &amp; $U$18)</f>
        <v>×0.8×1</v>
      </c>
      <c r="E185" s="135"/>
      <c r="F185" s="36" t="str">
        <f>IF($U$19="","","×" &amp; $U$19)</f>
        <v>×31.5</v>
      </c>
    </row>
    <row r="186" spans="1:7" ht="24.95" customHeight="1" x14ac:dyDescent="0.2">
      <c r="B186" s="153" t="str">
        <f>IF($X$16="","","＝   　" &amp; TEXT(Q26,"###,###,##0") &amp; "    ≒")</f>
        <v>＝   　8,691,480    ≒</v>
      </c>
      <c r="C186" s="153"/>
      <c r="D186" s="154" t="str">
        <f>IF($X$16="","",DBCS(TEXT($Q$23,"###,###,##0")))</f>
        <v>８，６９２，０００</v>
      </c>
      <c r="E186" s="154"/>
      <c r="F186" s="154"/>
    </row>
    <row r="187" spans="1:7" ht="20.100000000000001" customHeight="1" x14ac:dyDescent="0.15"/>
    <row r="188" spans="1:7" ht="20.100000000000001" customHeight="1" x14ac:dyDescent="0.2">
      <c r="B188" s="56"/>
      <c r="C188" s="49"/>
      <c r="D188" s="49"/>
      <c r="E188" s="49"/>
      <c r="F188" s="49"/>
      <c r="G188" s="50"/>
    </row>
    <row r="189" spans="1:7" ht="20.100000000000001" customHeight="1" x14ac:dyDescent="0.2">
      <c r="B189" s="94" t="s">
        <v>15</v>
      </c>
      <c r="C189" s="52"/>
      <c r="D189" s="98"/>
      <c r="E189" s="157">
        <f>Q22</f>
        <v>7522000</v>
      </c>
      <c r="F189" s="157"/>
      <c r="G189" s="53"/>
    </row>
    <row r="190" spans="1:7" ht="20.100000000000001" customHeight="1" thickBot="1" x14ac:dyDescent="0.25">
      <c r="B190" s="94" t="s">
        <v>78</v>
      </c>
      <c r="C190" s="52"/>
      <c r="D190" s="90" t="s">
        <v>72</v>
      </c>
      <c r="E190" s="159">
        <f>Q24</f>
        <v>1170000</v>
      </c>
      <c r="F190" s="159"/>
      <c r="G190" s="53"/>
    </row>
    <row r="191" spans="1:7" ht="20.100000000000001" customHeight="1" thickTop="1" x14ac:dyDescent="0.2">
      <c r="B191" s="94" t="s">
        <v>81</v>
      </c>
      <c r="C191" s="52"/>
      <c r="D191" s="95" t="s">
        <v>73</v>
      </c>
      <c r="E191" s="157">
        <f>Q23</f>
        <v>8692000</v>
      </c>
      <c r="F191" s="157"/>
      <c r="G191" s="53"/>
    </row>
    <row r="192" spans="1:7" ht="20.100000000000001" customHeight="1" x14ac:dyDescent="0.2">
      <c r="B192" s="94"/>
      <c r="C192" s="52"/>
      <c r="D192" s="95"/>
      <c r="E192" s="60"/>
      <c r="F192" s="60"/>
      <c r="G192" s="53"/>
    </row>
    <row r="193" spans="1:10" ht="20.100000000000001" customHeight="1" x14ac:dyDescent="0.2">
      <c r="B193" s="94"/>
      <c r="C193" s="96" t="s">
        <v>80</v>
      </c>
      <c r="D193" s="95"/>
      <c r="E193" s="60"/>
      <c r="F193" s="60"/>
      <c r="G193" s="53"/>
    </row>
    <row r="194" spans="1:10" ht="20.100000000000001" customHeight="1" x14ac:dyDescent="0.2">
      <c r="B194" s="97" t="s">
        <v>82</v>
      </c>
      <c r="C194" s="99">
        <v>44839</v>
      </c>
      <c r="D194" s="160">
        <v>2900000</v>
      </c>
      <c r="E194" s="160"/>
      <c r="F194" s="160"/>
      <c r="G194" s="53"/>
    </row>
    <row r="195" spans="1:10" ht="20.100000000000001" customHeight="1" x14ac:dyDescent="0.2">
      <c r="B195" s="94"/>
      <c r="C195" s="99">
        <v>44872</v>
      </c>
      <c r="D195" s="160">
        <v>2900000</v>
      </c>
      <c r="E195" s="160"/>
      <c r="F195" s="160"/>
      <c r="G195" s="53"/>
    </row>
    <row r="196" spans="1:10" ht="20.100000000000001" customHeight="1" x14ac:dyDescent="0.2">
      <c r="B196" s="94"/>
      <c r="C196" s="99">
        <v>44900</v>
      </c>
      <c r="D196" s="160">
        <v>2892000</v>
      </c>
      <c r="E196" s="160"/>
      <c r="F196" s="160"/>
      <c r="G196" s="53"/>
    </row>
    <row r="197" spans="1:10" ht="20.100000000000001" customHeight="1" x14ac:dyDescent="0.2">
      <c r="B197" s="54"/>
      <c r="C197" s="44"/>
      <c r="D197" s="44"/>
      <c r="E197" s="44"/>
      <c r="F197" s="44"/>
      <c r="G197" s="55"/>
      <c r="H197" s="34"/>
      <c r="I197" s="34"/>
      <c r="J197" s="34"/>
    </row>
    <row r="198" spans="1:10" ht="20.100000000000001" customHeight="1" x14ac:dyDescent="0.15"/>
    <row r="199" spans="1:10" ht="20.100000000000001" customHeight="1" x14ac:dyDescent="0.15"/>
    <row r="200" spans="1:10" ht="20.100000000000001" customHeight="1" x14ac:dyDescent="0.2">
      <c r="C200" s="45"/>
      <c r="D200" s="135" t="s">
        <v>67</v>
      </c>
      <c r="E200" s="135"/>
      <c r="F200" s="134">
        <f ca="1">NOW()</f>
        <v>44746.424086805557</v>
      </c>
      <c r="G200" s="134"/>
      <c r="H200" s="134"/>
    </row>
    <row r="201" spans="1:10" ht="20.100000000000001" customHeight="1" x14ac:dyDescent="0.2">
      <c r="C201" s="45"/>
      <c r="D201" s="38"/>
      <c r="E201" s="38"/>
      <c r="F201" s="47"/>
      <c r="G201" s="47"/>
      <c r="H201" s="47"/>
    </row>
    <row r="202" spans="1:10" ht="20.100000000000001" customHeight="1" x14ac:dyDescent="0.2">
      <c r="C202" s="45"/>
      <c r="D202" s="38"/>
      <c r="E202" s="38"/>
      <c r="F202" s="47"/>
      <c r="G202" s="47"/>
      <c r="H202" s="47"/>
    </row>
    <row r="203" spans="1:10" ht="20.100000000000001" customHeight="1" x14ac:dyDescent="0.2">
      <c r="C203" s="45"/>
      <c r="D203" s="38"/>
      <c r="E203" s="38"/>
      <c r="F203" s="47"/>
      <c r="G203" s="47"/>
      <c r="H203" s="47"/>
    </row>
    <row r="204" spans="1:10" ht="20.100000000000001" customHeight="1" x14ac:dyDescent="0.2">
      <c r="C204" s="45"/>
      <c r="D204" s="38"/>
      <c r="E204" s="38"/>
      <c r="F204" s="47"/>
      <c r="G204" s="47"/>
      <c r="H204" s="47"/>
    </row>
    <row r="205" spans="1:10" ht="20.100000000000001" customHeight="1" x14ac:dyDescent="0.2">
      <c r="C205" s="45"/>
      <c r="D205" s="38"/>
      <c r="E205" s="38"/>
      <c r="F205" s="47"/>
      <c r="G205" s="47"/>
      <c r="H205" s="47"/>
    </row>
    <row r="206" spans="1:10" ht="20.100000000000001" customHeight="1" x14ac:dyDescent="0.15">
      <c r="A206" s="48"/>
      <c r="B206" s="48"/>
      <c r="C206" s="48"/>
      <c r="D206" s="48"/>
      <c r="E206" s="48"/>
      <c r="F206" s="48"/>
      <c r="G206" s="48"/>
      <c r="H206" s="48"/>
    </row>
    <row r="207" spans="1:10" ht="20.100000000000001" customHeight="1" x14ac:dyDescent="0.15">
      <c r="A207" s="48"/>
      <c r="B207" s="48"/>
      <c r="C207" s="48"/>
      <c r="D207" s="48"/>
      <c r="E207" s="48"/>
      <c r="F207" s="48"/>
      <c r="G207" s="48"/>
      <c r="H207" s="48"/>
    </row>
    <row r="208" spans="1:10" x14ac:dyDescent="0.15">
      <c r="A208" s="48"/>
      <c r="B208" s="48"/>
      <c r="C208" s="48"/>
      <c r="D208" s="48"/>
      <c r="E208" s="48"/>
      <c r="F208" s="48"/>
      <c r="G208" s="48"/>
      <c r="H208" s="48"/>
    </row>
    <row r="209" spans="1:8" x14ac:dyDescent="0.15">
      <c r="A209" s="48"/>
      <c r="B209" s="48"/>
      <c r="C209" s="48"/>
      <c r="D209" s="48"/>
      <c r="E209" s="48"/>
      <c r="F209" s="48"/>
      <c r="G209" s="48"/>
      <c r="H209" s="48"/>
    </row>
    <row r="210" spans="1:8" ht="19.5" customHeight="1" x14ac:dyDescent="0.15">
      <c r="A210" s="136" t="s">
        <v>59</v>
      </c>
      <c r="B210" s="136"/>
      <c r="C210" s="136"/>
      <c r="D210" s="136"/>
      <c r="E210" s="136"/>
      <c r="F210" s="136"/>
      <c r="G210" s="136"/>
      <c r="H210" s="136"/>
    </row>
    <row r="211" spans="1:8" ht="19.5" customHeight="1" x14ac:dyDescent="0.15">
      <c r="A211" s="136"/>
      <c r="B211" s="136"/>
      <c r="C211" s="136"/>
      <c r="D211" s="136"/>
      <c r="E211" s="136"/>
      <c r="F211" s="136"/>
      <c r="G211" s="136"/>
      <c r="H211" s="136"/>
    </row>
    <row r="212" spans="1:8" ht="19.5" customHeight="1" x14ac:dyDescent="0.15"/>
    <row r="213" spans="1:8" ht="19.5" customHeight="1" x14ac:dyDescent="0.15"/>
    <row r="214" spans="1:8" ht="19.5" customHeight="1" x14ac:dyDescent="0.2">
      <c r="A214" s="124" t="s">
        <v>45</v>
      </c>
      <c r="B214" s="124"/>
      <c r="C214" s="137" t="str">
        <f>IF($AF$5="","",$AF$5)</f>
        <v>鳥居金属興業㈱　大阪支店</v>
      </c>
      <c r="D214" s="137"/>
      <c r="E214" s="137"/>
      <c r="F214" s="137"/>
    </row>
    <row r="215" spans="1:8" ht="19.5" customHeight="1" x14ac:dyDescent="0.15">
      <c r="C215" s="62">
        <f>IF($G$7="","",$G$7)</f>
        <v>470</v>
      </c>
    </row>
    <row r="216" spans="1:8" ht="19.5" customHeight="1" x14ac:dyDescent="0.2">
      <c r="A216" s="124" t="s">
        <v>46</v>
      </c>
      <c r="B216" s="124"/>
      <c r="C216" s="137" t="str">
        <f>IF($H$7="","",$H$7)</f>
        <v>岡野　雅次</v>
      </c>
      <c r="D216" s="137"/>
      <c r="E216" s="137"/>
      <c r="F216" s="35" t="s">
        <v>53</v>
      </c>
      <c r="G216" s="36" t="str">
        <f>IF($Y$15="","",$Y$15)</f>
        <v/>
      </c>
    </row>
    <row r="217" spans="1:8" ht="19.5" customHeight="1" x14ac:dyDescent="0.15">
      <c r="A217" s="33"/>
    </row>
    <row r="218" spans="1:8" ht="19.5" customHeight="1" x14ac:dyDescent="0.2">
      <c r="A218" s="124" t="s">
        <v>47</v>
      </c>
      <c r="B218" s="124"/>
      <c r="C218" s="125">
        <f>IF($X$18="","",$X$18)</f>
        <v>24547</v>
      </c>
      <c r="D218" s="125"/>
      <c r="E218" s="125"/>
      <c r="F218" s="125"/>
    </row>
    <row r="219" spans="1:8" ht="19.5" customHeight="1" x14ac:dyDescent="0.15">
      <c r="A219" s="33"/>
    </row>
    <row r="220" spans="1:8" ht="19.5" customHeight="1" x14ac:dyDescent="0.2">
      <c r="A220" s="124" t="s">
        <v>48</v>
      </c>
      <c r="B220" s="124"/>
      <c r="C220" s="125">
        <f>IF($X$19="","",$X$19)</f>
        <v>33329</v>
      </c>
      <c r="D220" s="125"/>
      <c r="E220" s="125"/>
      <c r="F220" s="125"/>
    </row>
    <row r="221" spans="1:8" ht="19.5" customHeight="1" x14ac:dyDescent="0.15">
      <c r="A221" s="33"/>
    </row>
    <row r="222" spans="1:8" ht="19.5" customHeight="1" x14ac:dyDescent="0.2">
      <c r="A222" s="124" t="s">
        <v>49</v>
      </c>
      <c r="B222" s="124"/>
      <c r="C222" s="125">
        <f>IF($C$10="","",$C$10)</f>
        <v>44834</v>
      </c>
      <c r="D222" s="125"/>
      <c r="E222" s="125"/>
      <c r="F222" s="125"/>
    </row>
    <row r="223" spans="1:8" ht="19.5" customHeight="1" x14ac:dyDescent="0.15">
      <c r="A223" s="33"/>
    </row>
    <row r="224" spans="1:8" ht="19.5" customHeight="1" x14ac:dyDescent="0.2">
      <c r="A224" s="124" t="s">
        <v>50</v>
      </c>
      <c r="B224" s="124"/>
      <c r="C224" s="137" t="str">
        <f>IF($Q$20="","",DBCS($Q$20))</f>
        <v>３１年６ヶ月</v>
      </c>
      <c r="D224" s="137"/>
      <c r="E224" s="137"/>
      <c r="F224" s="137"/>
    </row>
    <row r="225" spans="1:7" ht="19.5" customHeight="1" x14ac:dyDescent="0.15">
      <c r="A225" s="33"/>
    </row>
    <row r="226" spans="1:7" ht="19.5" customHeight="1" x14ac:dyDescent="0.2">
      <c r="A226" s="124" t="s">
        <v>51</v>
      </c>
      <c r="B226" s="124"/>
      <c r="C226" s="137" t="str">
        <f>IF($AJ$5="","",$AJ$5)</f>
        <v>自己都合</v>
      </c>
      <c r="D226" s="137"/>
      <c r="E226" s="137"/>
      <c r="F226" s="137"/>
    </row>
    <row r="227" spans="1:7" ht="19.5" customHeight="1" x14ac:dyDescent="0.15">
      <c r="A227" s="33"/>
    </row>
    <row r="228" spans="1:7" ht="19.5" customHeight="1" x14ac:dyDescent="0.15">
      <c r="A228" s="124" t="s">
        <v>52</v>
      </c>
      <c r="B228" s="124"/>
    </row>
    <row r="229" spans="1:7" ht="19.5" customHeight="1" x14ac:dyDescent="0.15">
      <c r="B229" s="40" t="s">
        <v>57</v>
      </c>
      <c r="C229" s="40" t="s">
        <v>58</v>
      </c>
      <c r="D229" s="143" t="s">
        <v>60</v>
      </c>
      <c r="E229" s="143"/>
      <c r="F229" s="39" t="s">
        <v>61</v>
      </c>
    </row>
    <row r="230" spans="1:7" ht="19.5" customHeight="1" x14ac:dyDescent="0.2">
      <c r="A230" s="37"/>
      <c r="B230" s="106" t="str">
        <f>IF($X$16="","","(  " &amp; TEXT($X$16,"###,##0"))</f>
        <v>(  298,460</v>
      </c>
      <c r="C230" s="42" t="str">
        <f>IF($X$17="","","+ " &amp; TEXT($X$17,"###,##0)"))</f>
        <v>+ 46,440)</v>
      </c>
      <c r="D230" s="135" t="str">
        <f>IF($AE$5="","","×" &amp; $AE$5 &amp; "×" &amp; $U$18)</f>
        <v>×0.8×1</v>
      </c>
      <c r="E230" s="135"/>
      <c r="F230" s="36" t="str">
        <f>IF($U$19="","","×" &amp; $U$19)</f>
        <v>×31.5</v>
      </c>
    </row>
    <row r="231" spans="1:7" ht="19.5" customHeight="1" x14ac:dyDescent="0.2">
      <c r="B231" s="153" t="str">
        <f>IF($X$16="","","＝   　" &amp; TEXT(Q26,"###,###,##0") &amp; "    ≒")</f>
        <v>＝   　8,691,480    ≒</v>
      </c>
      <c r="C231" s="153"/>
      <c r="D231" s="154" t="str">
        <f>IF($X$16="","",DBCS(TEXT($Q$23,"###,###,##0")))</f>
        <v>８，６９２，０００</v>
      </c>
      <c r="E231" s="154"/>
      <c r="F231" s="154"/>
    </row>
    <row r="232" spans="1:7" ht="19.5" customHeight="1" x14ac:dyDescent="0.15"/>
    <row r="233" spans="1:7" ht="19.5" customHeight="1" x14ac:dyDescent="0.2">
      <c r="B233" s="56"/>
      <c r="C233" s="49"/>
      <c r="D233" s="49"/>
      <c r="E233" s="49"/>
      <c r="F233" s="49"/>
      <c r="G233" s="50"/>
    </row>
    <row r="234" spans="1:7" ht="19.5" customHeight="1" x14ac:dyDescent="0.2">
      <c r="B234" s="94" t="s">
        <v>15</v>
      </c>
      <c r="C234" s="52"/>
      <c r="D234" s="98"/>
      <c r="E234" s="157">
        <f>$Q$22</f>
        <v>7522000</v>
      </c>
      <c r="F234" s="157"/>
      <c r="G234" s="53"/>
    </row>
    <row r="235" spans="1:7" ht="19.5" customHeight="1" thickBot="1" x14ac:dyDescent="0.25">
      <c r="B235" s="94" t="s">
        <v>78</v>
      </c>
      <c r="C235" s="52"/>
      <c r="D235" s="109" t="s">
        <v>72</v>
      </c>
      <c r="E235" s="159">
        <f>$Q$24</f>
        <v>1170000</v>
      </c>
      <c r="F235" s="159"/>
      <c r="G235" s="53"/>
    </row>
    <row r="236" spans="1:7" ht="19.5" customHeight="1" thickTop="1" x14ac:dyDescent="0.2">
      <c r="B236" s="94" t="s">
        <v>81</v>
      </c>
      <c r="C236" s="52"/>
      <c r="D236" s="95" t="s">
        <v>73</v>
      </c>
      <c r="E236" s="157">
        <f>$Q$23</f>
        <v>8692000</v>
      </c>
      <c r="F236" s="157"/>
      <c r="G236" s="53"/>
    </row>
    <row r="237" spans="1:7" ht="19.5" customHeight="1" x14ac:dyDescent="0.2">
      <c r="B237" s="94"/>
      <c r="C237" s="52"/>
      <c r="D237" s="95"/>
      <c r="E237" s="108"/>
      <c r="F237" s="108"/>
      <c r="G237" s="53"/>
    </row>
    <row r="238" spans="1:7" ht="19.5" customHeight="1" x14ac:dyDescent="0.2">
      <c r="B238" s="94"/>
      <c r="C238" s="96" t="s">
        <v>80</v>
      </c>
      <c r="D238" s="95"/>
      <c r="E238" s="108"/>
      <c r="F238" s="108"/>
      <c r="G238" s="53"/>
    </row>
    <row r="239" spans="1:7" ht="19.5" customHeight="1" x14ac:dyDescent="0.2">
      <c r="B239" s="97" t="s">
        <v>82</v>
      </c>
      <c r="C239" s="99">
        <v>45145</v>
      </c>
      <c r="D239" s="160">
        <v>650000</v>
      </c>
      <c r="E239" s="160"/>
      <c r="F239" s="160"/>
      <c r="G239" s="53"/>
    </row>
    <row r="240" spans="1:7" ht="19.5" customHeight="1" x14ac:dyDescent="0.2">
      <c r="B240" s="94"/>
      <c r="C240" s="99">
        <v>45174</v>
      </c>
      <c r="D240" s="160">
        <v>650000</v>
      </c>
      <c r="E240" s="160"/>
      <c r="F240" s="160"/>
      <c r="G240" s="53"/>
    </row>
    <row r="241" spans="2:8" ht="19.5" customHeight="1" x14ac:dyDescent="0.2">
      <c r="B241" s="94"/>
      <c r="C241" s="99">
        <v>45204</v>
      </c>
      <c r="D241" s="160">
        <v>649000</v>
      </c>
      <c r="E241" s="160"/>
      <c r="F241" s="160"/>
      <c r="G241" s="53"/>
    </row>
    <row r="242" spans="2:8" ht="19.5" customHeight="1" x14ac:dyDescent="0.2">
      <c r="B242" s="54"/>
      <c r="C242" s="44"/>
      <c r="D242" s="44"/>
      <c r="E242" s="44"/>
      <c r="F242" s="44"/>
      <c r="G242" s="55"/>
      <c r="H242" s="107"/>
    </row>
    <row r="243" spans="2:8" ht="19.5" customHeight="1" x14ac:dyDescent="0.15"/>
    <row r="244" spans="2:8" ht="19.5" customHeight="1" x14ac:dyDescent="0.15"/>
    <row r="245" spans="2:8" ht="19.5" customHeight="1" x14ac:dyDescent="0.2">
      <c r="B245" s="120" t="s">
        <v>78</v>
      </c>
      <c r="C245" s="118" t="s">
        <v>83</v>
      </c>
      <c r="D245" s="161">
        <f>Q24</f>
        <v>1170000</v>
      </c>
      <c r="E245" s="161"/>
      <c r="F245" s="161"/>
      <c r="G245" s="119"/>
      <c r="H245" s="105"/>
    </row>
    <row r="246" spans="2:8" ht="19.5" customHeight="1" x14ac:dyDescent="0.2">
      <c r="C246" s="45"/>
      <c r="D246" s="104"/>
      <c r="E246" s="104"/>
      <c r="F246" s="105"/>
      <c r="G246" s="105"/>
      <c r="H246" s="105"/>
    </row>
    <row r="247" spans="2:8" ht="19.5" customHeight="1" x14ac:dyDescent="0.2">
      <c r="C247" s="45"/>
      <c r="D247" s="135" t="s">
        <v>67</v>
      </c>
      <c r="E247" s="135"/>
      <c r="F247" s="134">
        <f ca="1">NOW()</f>
        <v>44746.424086805557</v>
      </c>
      <c r="G247" s="134"/>
      <c r="H247" s="134"/>
    </row>
    <row r="248" spans="2:8" ht="17.25" x14ac:dyDescent="0.2">
      <c r="C248" s="45"/>
      <c r="D248" s="104"/>
      <c r="E248" s="104"/>
      <c r="F248" s="105"/>
      <c r="G248" s="105"/>
      <c r="H248" s="105"/>
    </row>
    <row r="249" spans="2:8" ht="17.25" x14ac:dyDescent="0.2">
      <c r="C249" s="45"/>
      <c r="D249" s="104"/>
      <c r="E249" s="104"/>
      <c r="F249" s="105"/>
      <c r="G249" s="105"/>
      <c r="H249" s="105"/>
    </row>
    <row r="250" spans="2:8" ht="17.25" x14ac:dyDescent="0.2">
      <c r="C250" s="45"/>
      <c r="D250" s="104"/>
      <c r="E250" s="104"/>
      <c r="F250" s="105"/>
      <c r="G250" s="105"/>
      <c r="H250" s="105"/>
    </row>
  </sheetData>
  <mergeCells count="127">
    <mergeCell ref="D247:E247"/>
    <mergeCell ref="F247:H247"/>
    <mergeCell ref="D245:F245"/>
    <mergeCell ref="E235:F235"/>
    <mergeCell ref="E236:F236"/>
    <mergeCell ref="D239:F239"/>
    <mergeCell ref="D240:F240"/>
    <mergeCell ref="D241:F241"/>
    <mergeCell ref="D229:E229"/>
    <mergeCell ref="D230:E230"/>
    <mergeCell ref="B231:C231"/>
    <mergeCell ref="D231:F231"/>
    <mergeCell ref="E234:F234"/>
    <mergeCell ref="A224:B224"/>
    <mergeCell ref="C224:F224"/>
    <mergeCell ref="A226:B226"/>
    <mergeCell ref="C226:F226"/>
    <mergeCell ref="A228:B228"/>
    <mergeCell ref="A218:B218"/>
    <mergeCell ref="C218:F218"/>
    <mergeCell ref="A220:B220"/>
    <mergeCell ref="C220:F220"/>
    <mergeCell ref="A222:B222"/>
    <mergeCell ref="C222:F222"/>
    <mergeCell ref="A210:H211"/>
    <mergeCell ref="A214:B214"/>
    <mergeCell ref="C214:F214"/>
    <mergeCell ref="A216:B216"/>
    <mergeCell ref="C216:E216"/>
    <mergeCell ref="D200:E200"/>
    <mergeCell ref="F200:H200"/>
    <mergeCell ref="E190:F190"/>
    <mergeCell ref="E191:F191"/>
    <mergeCell ref="D185:E185"/>
    <mergeCell ref="D194:F194"/>
    <mergeCell ref="D195:F195"/>
    <mergeCell ref="D196:F196"/>
    <mergeCell ref="E189:F189"/>
    <mergeCell ref="B186:C186"/>
    <mergeCell ref="D186:F186"/>
    <mergeCell ref="D184:E184"/>
    <mergeCell ref="A181:B181"/>
    <mergeCell ref="C181:F181"/>
    <mergeCell ref="A183:B183"/>
    <mergeCell ref="A177:B177"/>
    <mergeCell ref="C177:F177"/>
    <mergeCell ref="A179:B179"/>
    <mergeCell ref="C179:F179"/>
    <mergeCell ref="A171:B171"/>
    <mergeCell ref="C171:E171"/>
    <mergeCell ref="A173:B173"/>
    <mergeCell ref="C173:F173"/>
    <mergeCell ref="A175:B175"/>
    <mergeCell ref="C175:F175"/>
    <mergeCell ref="A165:H166"/>
    <mergeCell ref="D142:F142"/>
    <mergeCell ref="A169:B169"/>
    <mergeCell ref="C169:F169"/>
    <mergeCell ref="D148:E148"/>
    <mergeCell ref="F148:H148"/>
    <mergeCell ref="D139:F139"/>
    <mergeCell ref="D135:E135"/>
    <mergeCell ref="B136:C136"/>
    <mergeCell ref="D136:F136"/>
    <mergeCell ref="F146:H146"/>
    <mergeCell ref="D140:F140"/>
    <mergeCell ref="D141:F141"/>
    <mergeCell ref="A131:B131"/>
    <mergeCell ref="C131:F131"/>
    <mergeCell ref="A133:B133"/>
    <mergeCell ref="D134:E134"/>
    <mergeCell ref="B4:I4"/>
    <mergeCell ref="D18:E18"/>
    <mergeCell ref="G18:H18"/>
    <mergeCell ref="H7:I7"/>
    <mergeCell ref="C10:D10"/>
    <mergeCell ref="B83:C83"/>
    <mergeCell ref="D83:F83"/>
    <mergeCell ref="D81:E81"/>
    <mergeCell ref="A123:B123"/>
    <mergeCell ref="C123:F123"/>
    <mergeCell ref="D85:E85"/>
    <mergeCell ref="D86:E86"/>
    <mergeCell ref="B87:C87"/>
    <mergeCell ref="A119:B119"/>
    <mergeCell ref="C119:F119"/>
    <mergeCell ref="A121:B121"/>
    <mergeCell ref="C121:E121"/>
    <mergeCell ref="D87:F87"/>
    <mergeCell ref="E99:F99"/>
    <mergeCell ref="D20:F20"/>
    <mergeCell ref="R17:T17"/>
    <mergeCell ref="C76:F76"/>
    <mergeCell ref="C78:F78"/>
    <mergeCell ref="C68:E68"/>
    <mergeCell ref="A76:B76"/>
    <mergeCell ref="A74:B74"/>
    <mergeCell ref="A62:H63"/>
    <mergeCell ref="A68:B68"/>
    <mergeCell ref="A70:B70"/>
    <mergeCell ref="A72:B72"/>
    <mergeCell ref="D22:F22"/>
    <mergeCell ref="D24:F24"/>
    <mergeCell ref="D27:G27"/>
    <mergeCell ref="A78:B78"/>
    <mergeCell ref="A66:B66"/>
    <mergeCell ref="A127:B127"/>
    <mergeCell ref="C127:F127"/>
    <mergeCell ref="A129:B129"/>
    <mergeCell ref="U21:V22"/>
    <mergeCell ref="D91:F91"/>
    <mergeCell ref="D93:F93"/>
    <mergeCell ref="D98:F98"/>
    <mergeCell ref="B103:F103"/>
    <mergeCell ref="F105:H105"/>
    <mergeCell ref="D105:E105"/>
    <mergeCell ref="A125:B125"/>
    <mergeCell ref="C125:F125"/>
    <mergeCell ref="E100:F100"/>
    <mergeCell ref="A115:H116"/>
    <mergeCell ref="A80:B80"/>
    <mergeCell ref="C66:F66"/>
    <mergeCell ref="C70:F70"/>
    <mergeCell ref="C72:F72"/>
    <mergeCell ref="C74:F74"/>
    <mergeCell ref="D82:E82"/>
    <mergeCell ref="C129:F129"/>
  </mergeCells>
  <phoneticPr fontId="2"/>
  <pageMargins left="0.39370078740157483" right="0" top="0.39370078740157483" bottom="0" header="0" footer="0"/>
  <pageSetup paperSize="9" scale="98" orientation="portrait" horizontalDpi="300" verticalDpi="300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Group Box 3">
              <controlPr defaultSize="0" autoFill="0" autoPict="0">
                <anchor moveWithCells="1">
                  <from>
                    <xdr:col>0</xdr:col>
                    <xdr:colOff>1933575</xdr:colOff>
                    <xdr:row>16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6" name="Drop Down 1">
              <controlPr defaultSize="0" autoLine="0" autoPict="0" macro="[0]!コード検索">
                <anchor moveWithCells="1">
                  <from>
                    <xdr:col>2</xdr:col>
                    <xdr:colOff>9525</xdr:colOff>
                    <xdr:row>5</xdr:row>
                    <xdr:rowOff>161925</xdr:rowOff>
                  </from>
                  <to>
                    <xdr:col>3</xdr:col>
                    <xdr:colOff>257175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Drop Down 2">
              <controlPr defaultSize="0" autoLine="0" autoPict="0" macro="[0]!Selected_Add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295275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LR_表示部">
                <anchor moveWithCells="1" sizeWithCells="1">
                  <from>
                    <xdr:col>7</xdr:col>
                    <xdr:colOff>190500</xdr:colOff>
                    <xdr:row>12</xdr:row>
                    <xdr:rowOff>85725</xdr:rowOff>
                  </from>
                  <to>
                    <xdr:col>8</xdr:col>
                    <xdr:colOff>542925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AP_END">
                <anchor moveWithCells="1" sizeWithCells="1">
                  <from>
                    <xdr:col>5</xdr:col>
                    <xdr:colOff>371475</xdr:colOff>
                    <xdr:row>31</xdr:row>
                    <xdr:rowOff>9525</xdr:rowOff>
                  </from>
                  <to>
                    <xdr:col>8</xdr:col>
                    <xdr:colOff>219075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Print_OK">
                <anchor moveWithCells="1" sizeWithCells="1">
                  <from>
                    <xdr:col>1</xdr:col>
                    <xdr:colOff>514350</xdr:colOff>
                    <xdr:row>31</xdr:row>
                    <xdr:rowOff>19050</xdr:rowOff>
                  </from>
                  <to>
                    <xdr:col>4</xdr:col>
                    <xdr:colOff>133350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Drop Down 9">
              <controlPr defaultSize="0" autoLine="0" autoPict="0" macro="[0]!マスター読込">
                <anchor moveWithCells="1">
                  <from>
                    <xdr:col>5</xdr:col>
                    <xdr:colOff>800100</xdr:colOff>
                    <xdr:row>4</xdr:row>
                    <xdr:rowOff>171450</xdr:rowOff>
                  </from>
                  <to>
                    <xdr:col>7</xdr:col>
                    <xdr:colOff>314325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Main</vt:lpstr>
      <vt:lpstr>Main!Print_Area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鳥居金属興業㈱</dc:creator>
  <cp:lastModifiedBy>SCOTT</cp:lastModifiedBy>
  <cp:lastPrinted>2022-07-04T01:09:46Z</cp:lastPrinted>
  <dcterms:created xsi:type="dcterms:W3CDTF">2000-06-27T05:11:50Z</dcterms:created>
  <dcterms:modified xsi:type="dcterms:W3CDTF">2022-07-04T01:10:43Z</dcterms:modified>
</cp:coreProperties>
</file>